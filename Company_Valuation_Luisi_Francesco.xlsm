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erluisx/Desktop/APPUNTI/MAGISTRALE/2°SEM.DD/CORPORATE/Progetto/"/>
    </mc:Choice>
  </mc:AlternateContent>
  <xr:revisionPtr revIDLastSave="0" documentId="13_ncr:1_{D9E31A32-5E45-9A4E-A13D-73E241285CAC}" xr6:coauthVersionLast="47" xr6:coauthVersionMax="47" xr10:uidLastSave="{00000000-0000-0000-0000-000000000000}"/>
  <bookViews>
    <workbookView xWindow="760" yWindow="500" windowWidth="28040" windowHeight="16020" activeTab="8" xr2:uid="{B8A8E153-1F89-BE41-86EF-514B8AD5CB32}"/>
  </bookViews>
  <sheets>
    <sheet name="Assumptions" sheetId="5" r:id="rId1"/>
    <sheet name="Income Statement" sheetId="1" r:id="rId2"/>
    <sheet name="Balance Sheet" sheetId="2" r:id="rId3"/>
    <sheet name="Cash Flow Statement" sheetId="11" r:id="rId4"/>
    <sheet name="Cash Flow Calculation" sheetId="4" r:id="rId5"/>
    <sheet name="Cost of Equity" sheetId="7" r:id="rId6"/>
    <sheet name="DCF Valuation" sheetId="8" r:id="rId7"/>
    <sheet name="Trading Multiples" sheetId="9" r:id="rId8"/>
    <sheet name="Football Field" sheetId="10" r:id="rId9"/>
  </sheets>
  <definedNames>
    <definedName name="_xlchart.v1.0" hidden="1">'Football Field'!$F$5:$F$10</definedName>
    <definedName name="_xlchart.v1.1" hidden="1">'Football Field'!$G$4</definedName>
    <definedName name="_xlchart.v1.10" hidden="1">'Football Field'!$F$5:$F$10</definedName>
    <definedName name="_xlchart.v1.11" hidden="1">'Football Field'!$G$4</definedName>
    <definedName name="_xlchart.v1.12" hidden="1">'Football Field'!$G$5:$G$10</definedName>
    <definedName name="_xlchart.v1.13" hidden="1">'Football Field'!$H$4</definedName>
    <definedName name="_xlchart.v1.14" hidden="1">'Football Field'!$H$5:$H$10</definedName>
    <definedName name="_xlchart.v1.15" hidden="1">'Football Field'!$F$5:$F$10</definedName>
    <definedName name="_xlchart.v1.16" hidden="1">'Football Field'!$G$4</definedName>
    <definedName name="_xlchart.v1.17" hidden="1">'Football Field'!$G$5:$G$10</definedName>
    <definedName name="_xlchart.v1.18" hidden="1">'Football Field'!$H$4</definedName>
    <definedName name="_xlchart.v1.19" hidden="1">'Football Field'!$H$5:$H$10</definedName>
    <definedName name="_xlchart.v1.2" hidden="1">'Football Field'!$G$5:$G$10</definedName>
    <definedName name="_xlchart.v1.20" hidden="1">'Football Field'!$F$5:$F$10</definedName>
    <definedName name="_xlchart.v1.21" hidden="1">'Football Field'!$G$4</definedName>
    <definedName name="_xlchart.v1.22" hidden="1">'Football Field'!$G$5:$G$10</definedName>
    <definedName name="_xlchart.v1.23" hidden="1">'Football Field'!$H$4</definedName>
    <definedName name="_xlchart.v1.24" hidden="1">'Football Field'!$H$5:$H$10</definedName>
    <definedName name="_xlchart.v1.25" hidden="1">'Football Field'!$F$5:$F$10</definedName>
    <definedName name="_xlchart.v1.26" hidden="1">'Football Field'!$G$4</definedName>
    <definedName name="_xlchart.v1.27" hidden="1">'Football Field'!$G$5:$G$10</definedName>
    <definedName name="_xlchart.v1.28" hidden="1">'Football Field'!$H$4</definedName>
    <definedName name="_xlchart.v1.29" hidden="1">'Football Field'!$H$5:$H$10</definedName>
    <definedName name="_xlchart.v1.3" hidden="1">'Football Field'!$H$4</definedName>
    <definedName name="_xlchart.v1.4" hidden="1">'Football Field'!$H$5:$H$10</definedName>
    <definedName name="_xlchart.v1.5" hidden="1">'Football Field'!$F$5:$F$10</definedName>
    <definedName name="_xlchart.v1.6" hidden="1">'Football Field'!$G$4</definedName>
    <definedName name="_xlchart.v1.7" hidden="1">'Football Field'!$G$5:$G$10</definedName>
    <definedName name="_xlchart.v1.8" hidden="1">'Football Field'!$H$4</definedName>
    <definedName name="_xlchart.v1.9" hidden="1">'Football Field'!$H$5:$H$10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0" l="1"/>
  <c r="D89" i="4"/>
  <c r="C89" i="4"/>
  <c r="E89" i="4"/>
  <c r="F89" i="4"/>
  <c r="G89" i="4"/>
  <c r="H89" i="4"/>
  <c r="I89" i="4"/>
  <c r="B89" i="4"/>
  <c r="E9" i="4"/>
  <c r="F9" i="4"/>
  <c r="G9" i="4"/>
  <c r="H9" i="4"/>
  <c r="I9" i="4"/>
  <c r="D60" i="11"/>
  <c r="C60" i="11"/>
  <c r="D59" i="11" s="1"/>
  <c r="B60" i="11"/>
  <c r="C59" i="11" s="1"/>
  <c r="D57" i="11"/>
  <c r="C57" i="11"/>
  <c r="B57" i="11"/>
  <c r="D54" i="11"/>
  <c r="C54" i="11"/>
  <c r="B54" i="11"/>
  <c r="D44" i="11"/>
  <c r="C44" i="11"/>
  <c r="B44" i="11"/>
  <c r="D31" i="11"/>
  <c r="C31" i="11"/>
  <c r="B31" i="11"/>
  <c r="F6" i="10"/>
  <c r="B45" i="7"/>
  <c r="F5" i="7"/>
  <c r="H5" i="7" s="1"/>
  <c r="F9" i="7"/>
  <c r="H9" i="7" s="1"/>
  <c r="F8" i="7"/>
  <c r="H8" i="7" s="1"/>
  <c r="F7" i="7"/>
  <c r="H7" i="7" s="1"/>
  <c r="F6" i="7"/>
  <c r="H6" i="7" s="1"/>
  <c r="F10" i="10"/>
  <c r="F9" i="10"/>
  <c r="F8" i="10"/>
  <c r="F7" i="10"/>
  <c r="F5" i="10"/>
  <c r="D10" i="10"/>
  <c r="E10" i="10" s="1"/>
  <c r="C10" i="10"/>
  <c r="B10" i="10"/>
  <c r="H10" i="10" s="1"/>
  <c r="C9" i="10"/>
  <c r="H9" i="10" s="1"/>
  <c r="B9" i="10"/>
  <c r="C8" i="10"/>
  <c r="H8" i="10" s="1"/>
  <c r="B8" i="10"/>
  <c r="G8" i="10" s="1"/>
  <c r="C7" i="10"/>
  <c r="H7" i="10" s="1"/>
  <c r="B7" i="10"/>
  <c r="G7" i="10" s="1"/>
  <c r="C6" i="10"/>
  <c r="B6" i="10"/>
  <c r="H6" i="10" s="1"/>
  <c r="H41" i="9"/>
  <c r="G41" i="9"/>
  <c r="F41" i="9"/>
  <c r="H39" i="9"/>
  <c r="G39" i="9"/>
  <c r="F39" i="9"/>
  <c r="E39" i="9"/>
  <c r="D39" i="9"/>
  <c r="C39" i="9"/>
  <c r="B39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B30" i="9"/>
  <c r="B29" i="9"/>
  <c r="B28" i="9"/>
  <c r="B27" i="9"/>
  <c r="B26" i="9"/>
  <c r="B25" i="9"/>
  <c r="B23" i="9"/>
  <c r="B22" i="9"/>
  <c r="B21" i="9"/>
  <c r="B20" i="9"/>
  <c r="B19" i="9"/>
  <c r="B18" i="9"/>
  <c r="F15" i="9"/>
  <c r="E15" i="9"/>
  <c r="D15" i="9"/>
  <c r="C15" i="9"/>
  <c r="B15" i="9"/>
  <c r="F14" i="9"/>
  <c r="E14" i="9"/>
  <c r="D14" i="9"/>
  <c r="C14" i="9"/>
  <c r="B14" i="9"/>
  <c r="F13" i="9"/>
  <c r="E13" i="9"/>
  <c r="D13" i="9"/>
  <c r="C13" i="9"/>
  <c r="B13" i="9"/>
  <c r="F12" i="9"/>
  <c r="E12" i="9"/>
  <c r="D12" i="9"/>
  <c r="C12" i="9"/>
  <c r="B12" i="9"/>
  <c r="G6" i="10" l="1"/>
  <c r="G10" i="10"/>
  <c r="D9" i="10"/>
  <c r="E9" i="10" s="1"/>
  <c r="D6" i="10"/>
  <c r="E6" i="10" s="1"/>
  <c r="G9" i="10"/>
  <c r="D7" i="10"/>
  <c r="E7" i="10" s="1"/>
  <c r="D8" i="10"/>
  <c r="E8" i="10" s="1"/>
  <c r="H11" i="7"/>
  <c r="N5" i="7" s="1"/>
  <c r="B43" i="7" s="1"/>
  <c r="H10" i="7"/>
  <c r="N4" i="7" s="1"/>
  <c r="B87" i="8"/>
  <c r="B86" i="8"/>
  <c r="B85" i="8"/>
  <c r="B67" i="8"/>
  <c r="B66" i="8"/>
  <c r="B65" i="8"/>
  <c r="B47" i="8"/>
  <c r="B46" i="8"/>
  <c r="B45" i="8"/>
  <c r="B18" i="8"/>
  <c r="B17" i="8"/>
  <c r="B16" i="8"/>
  <c r="B44" i="7"/>
  <c r="B42" i="7"/>
  <c r="B24" i="7"/>
  <c r="B23" i="7"/>
  <c r="B19" i="7"/>
  <c r="B17" i="7"/>
  <c r="B9" i="7"/>
  <c r="B69" i="8" s="1"/>
  <c r="B8" i="7"/>
  <c r="N7" i="7" s="1"/>
  <c r="D94" i="4"/>
  <c r="C94" i="4"/>
  <c r="D92" i="4"/>
  <c r="C92" i="4"/>
  <c r="B92" i="4"/>
  <c r="D78" i="4"/>
  <c r="C78" i="4"/>
  <c r="B78" i="4"/>
  <c r="I63" i="4"/>
  <c r="I87" i="4" s="1"/>
  <c r="H63" i="4"/>
  <c r="H87" i="4" s="1"/>
  <c r="G63" i="4"/>
  <c r="F63" i="4"/>
  <c r="F87" i="4" s="1"/>
  <c r="E63" i="4"/>
  <c r="E87" i="4" s="1"/>
  <c r="D63" i="4"/>
  <c r="D87" i="4" s="1"/>
  <c r="C63" i="4"/>
  <c r="C87" i="4" s="1"/>
  <c r="B63" i="4"/>
  <c r="B87" i="4" s="1"/>
  <c r="D58" i="4"/>
  <c r="C58" i="4"/>
  <c r="B58" i="4"/>
  <c r="B25" i="7" l="1"/>
  <c r="B47" i="7" s="1"/>
  <c r="B35" i="8" s="1"/>
  <c r="C36" i="8" s="1"/>
  <c r="D36" i="8" s="1"/>
  <c r="E36" i="8" s="1"/>
  <c r="F36" i="8" s="1"/>
  <c r="G36" i="8" s="1"/>
  <c r="H36" i="8" s="1"/>
  <c r="B20" i="8"/>
  <c r="B49" i="8"/>
  <c r="B28" i="8"/>
  <c r="C29" i="8" s="1"/>
  <c r="D29" i="8" s="1"/>
  <c r="E29" i="8" s="1"/>
  <c r="F29" i="8" s="1"/>
  <c r="G29" i="8" s="1"/>
  <c r="H29" i="8" s="1"/>
  <c r="B71" i="4"/>
  <c r="F71" i="4"/>
  <c r="C71" i="4"/>
  <c r="G71" i="4"/>
  <c r="G87" i="4"/>
  <c r="D71" i="4"/>
  <c r="H71" i="4"/>
  <c r="E71" i="4"/>
  <c r="I71" i="4"/>
  <c r="B26" i="7" l="1"/>
  <c r="B27" i="7" s="1"/>
  <c r="I42" i="4"/>
  <c r="H42" i="4"/>
  <c r="G42" i="4"/>
  <c r="F42" i="4"/>
  <c r="I36" i="4"/>
  <c r="H36" i="4"/>
  <c r="G36" i="4"/>
  <c r="F36" i="4"/>
  <c r="I28" i="4"/>
  <c r="I64" i="4" s="1"/>
  <c r="I65" i="4" s="1"/>
  <c r="G37" i="8" s="1"/>
  <c r="H28" i="4"/>
  <c r="H64" i="4" s="1"/>
  <c r="H65" i="4" s="1"/>
  <c r="F37" i="8" s="1"/>
  <c r="F39" i="8" s="1"/>
  <c r="G28" i="4"/>
  <c r="G64" i="4" s="1"/>
  <c r="G65" i="4" s="1"/>
  <c r="E37" i="8" s="1"/>
  <c r="E39" i="8" s="1"/>
  <c r="F28" i="4"/>
  <c r="F64" i="4" s="1"/>
  <c r="F65" i="4" s="1"/>
  <c r="D37" i="8" s="1"/>
  <c r="D39" i="8" s="1"/>
  <c r="I18" i="4"/>
  <c r="H18" i="4"/>
  <c r="G18" i="4"/>
  <c r="F18" i="4"/>
  <c r="E42" i="4"/>
  <c r="E36" i="4"/>
  <c r="E28" i="4"/>
  <c r="E64" i="4" s="1"/>
  <c r="E65" i="4" s="1"/>
  <c r="E18" i="4"/>
  <c r="D33" i="4"/>
  <c r="C33" i="4"/>
  <c r="D37" i="4" s="1"/>
  <c r="B33" i="4"/>
  <c r="B37" i="4" s="1"/>
  <c r="D28" i="4"/>
  <c r="D64" i="4" s="1"/>
  <c r="D65" i="4" s="1"/>
  <c r="C28" i="4"/>
  <c r="C64" i="4" s="1"/>
  <c r="C65" i="4" s="1"/>
  <c r="B28" i="4"/>
  <c r="B64" i="4" s="1"/>
  <c r="B65" i="4" s="1"/>
  <c r="D15" i="4"/>
  <c r="D31" i="4" s="1"/>
  <c r="C15" i="4"/>
  <c r="B15" i="4"/>
  <c r="B31" i="4" s="1"/>
  <c r="D6" i="4"/>
  <c r="C6" i="4"/>
  <c r="B6" i="4"/>
  <c r="D2" i="4"/>
  <c r="C2" i="4"/>
  <c r="C40" i="4" s="1"/>
  <c r="B2" i="4"/>
  <c r="B40" i="4" s="1"/>
  <c r="C37" i="8" l="1"/>
  <c r="C39" i="8" s="1"/>
  <c r="D11" i="4"/>
  <c r="C7" i="4"/>
  <c r="B7" i="4"/>
  <c r="C3" i="4"/>
  <c r="C4" i="4" s="1"/>
  <c r="C34" i="4"/>
  <c r="C16" i="4"/>
  <c r="B11" i="4"/>
  <c r="B20" i="4" s="1"/>
  <c r="D91" i="4"/>
  <c r="D75" i="4"/>
  <c r="D55" i="4"/>
  <c r="D57" i="4"/>
  <c r="D93" i="4"/>
  <c r="D77" i="4"/>
  <c r="D12" i="4"/>
  <c r="D20" i="4"/>
  <c r="B77" i="4"/>
  <c r="B93" i="4"/>
  <c r="B57" i="4"/>
  <c r="G39" i="8"/>
  <c r="H37" i="8"/>
  <c r="H38" i="8" s="1"/>
  <c r="H40" i="8" s="1"/>
  <c r="D16" i="4"/>
  <c r="C37" i="4"/>
  <c r="B91" i="4"/>
  <c r="B55" i="4"/>
  <c r="B75" i="4"/>
  <c r="E2" i="4"/>
  <c r="D7" i="4"/>
  <c r="C11" i="4"/>
  <c r="B16" i="4"/>
  <c r="C31" i="4"/>
  <c r="D8" i="4"/>
  <c r="D40" i="4"/>
  <c r="D34" i="4"/>
  <c r="D3" i="4"/>
  <c r="B34" i="4"/>
  <c r="D52" i="2"/>
  <c r="C52" i="2"/>
  <c r="B52" i="2"/>
  <c r="C44" i="2"/>
  <c r="C54" i="2" s="1"/>
  <c r="D37" i="2"/>
  <c r="D44" i="2" s="1"/>
  <c r="D54" i="2" s="1"/>
  <c r="C37" i="2"/>
  <c r="B37" i="2"/>
  <c r="B44" i="2" s="1"/>
  <c r="B54" i="2" s="1"/>
  <c r="C26" i="2"/>
  <c r="D17" i="2"/>
  <c r="D26" i="2" s="1"/>
  <c r="C17" i="2"/>
  <c r="B17" i="2"/>
  <c r="B26" i="2" s="1"/>
  <c r="D33" i="1"/>
  <c r="C33" i="1"/>
  <c r="B33" i="1"/>
  <c r="D19" i="1"/>
  <c r="C19" i="1"/>
  <c r="C21" i="1" s="1"/>
  <c r="C35" i="1" s="1"/>
  <c r="C43" i="1" s="1"/>
  <c r="C46" i="1" s="1"/>
  <c r="C48" i="1" s="1"/>
  <c r="B19" i="1"/>
  <c r="D12" i="1"/>
  <c r="D21" i="1" s="1"/>
  <c r="D35" i="1" s="1"/>
  <c r="D43" i="1" s="1"/>
  <c r="D46" i="1" s="1"/>
  <c r="D48" i="1" s="1"/>
  <c r="C12" i="1"/>
  <c r="B12" i="1"/>
  <c r="B21" i="1" s="1"/>
  <c r="B35" i="1" s="1"/>
  <c r="B43" i="1" s="1"/>
  <c r="B46" i="1" s="1"/>
  <c r="B48" i="1" s="1"/>
  <c r="C8" i="4" l="1"/>
  <c r="B43" i="8"/>
  <c r="B12" i="4"/>
  <c r="D4" i="4"/>
  <c r="C17" i="4"/>
  <c r="D17" i="4"/>
  <c r="C57" i="4"/>
  <c r="C93" i="4"/>
  <c r="C77" i="4"/>
  <c r="B21" i="4"/>
  <c r="B27" i="4"/>
  <c r="D35" i="4"/>
  <c r="C35" i="4"/>
  <c r="C20" i="4"/>
  <c r="C12" i="4"/>
  <c r="D27" i="4"/>
  <c r="D21" i="4"/>
  <c r="C55" i="4"/>
  <c r="C91" i="4"/>
  <c r="C75" i="4"/>
  <c r="E33" i="4"/>
  <c r="E15" i="4"/>
  <c r="E6" i="4"/>
  <c r="E3" i="4"/>
  <c r="E4" i="4" s="1"/>
  <c r="E39" i="4"/>
  <c r="F2" i="4"/>
  <c r="E11" i="4" l="1"/>
  <c r="E7" i="4"/>
  <c r="D86" i="4"/>
  <c r="D88" i="4" s="1"/>
  <c r="D90" i="4" s="1"/>
  <c r="D95" i="4" s="1"/>
  <c r="D70" i="4"/>
  <c r="D52" i="4"/>
  <c r="D29" i="4"/>
  <c r="D30" i="4" s="1"/>
  <c r="D45" i="4" s="1"/>
  <c r="G2" i="4"/>
  <c r="F33" i="4"/>
  <c r="F15" i="4"/>
  <c r="F3" i="4"/>
  <c r="F39" i="4"/>
  <c r="F6" i="4"/>
  <c r="E31" i="4"/>
  <c r="E16" i="4"/>
  <c r="E17" i="4" s="1"/>
  <c r="B70" i="4"/>
  <c r="B86" i="4"/>
  <c r="B88" i="4" s="1"/>
  <c r="B52" i="4"/>
  <c r="B29" i="4"/>
  <c r="B30" i="4" s="1"/>
  <c r="B45" i="4" s="1"/>
  <c r="E34" i="4"/>
  <c r="E35" i="4" s="1"/>
  <c r="E37" i="4"/>
  <c r="C21" i="4"/>
  <c r="C27" i="4"/>
  <c r="E92" i="4"/>
  <c r="E58" i="4"/>
  <c r="E78" i="4"/>
  <c r="E40" i="4"/>
  <c r="E93" i="4" l="1"/>
  <c r="E77" i="4"/>
  <c r="E57" i="4"/>
  <c r="E75" i="4"/>
  <c r="E55" i="4"/>
  <c r="E91" i="4"/>
  <c r="F16" i="4"/>
  <c r="F31" i="4"/>
  <c r="D96" i="4"/>
  <c r="B90" i="4"/>
  <c r="B95" i="4" s="1"/>
  <c r="B96" i="4" s="1"/>
  <c r="F7" i="4"/>
  <c r="F8" i="4" s="1"/>
  <c r="F11" i="4"/>
  <c r="F34" i="4"/>
  <c r="F35" i="4" s="1"/>
  <c r="F37" i="4"/>
  <c r="E8" i="4"/>
  <c r="C86" i="4"/>
  <c r="C88" i="4" s="1"/>
  <c r="C90" i="4" s="1"/>
  <c r="C95" i="4" s="1"/>
  <c r="C70" i="4"/>
  <c r="C52" i="4"/>
  <c r="C29" i="4"/>
  <c r="B53" i="4"/>
  <c r="B54" i="4" s="1"/>
  <c r="B56" i="4" s="1"/>
  <c r="B59" i="4" s="1"/>
  <c r="B60" i="4" s="1"/>
  <c r="B72" i="4"/>
  <c r="B73" i="4" s="1"/>
  <c r="B74" i="4" s="1"/>
  <c r="B76" i="4" s="1"/>
  <c r="B79" i="4" s="1"/>
  <c r="F40" i="4"/>
  <c r="F78" i="4"/>
  <c r="F92" i="4"/>
  <c r="F58" i="4"/>
  <c r="H2" i="4"/>
  <c r="G3" i="4"/>
  <c r="G39" i="4"/>
  <c r="G15" i="4"/>
  <c r="G33" i="4"/>
  <c r="G6" i="4"/>
  <c r="G7" i="4" s="1"/>
  <c r="E20" i="4"/>
  <c r="E12" i="4"/>
  <c r="D53" i="4"/>
  <c r="D54" i="4" s="1"/>
  <c r="D56" i="4" s="1"/>
  <c r="D59" i="4" s="1"/>
  <c r="D60" i="4" s="1"/>
  <c r="D72" i="4"/>
  <c r="D73" i="4" s="1"/>
  <c r="D74" i="4" s="1"/>
  <c r="D76" i="4" s="1"/>
  <c r="D79" i="4" s="1"/>
  <c r="F4" i="4"/>
  <c r="D80" i="4" l="1"/>
  <c r="B80" i="4"/>
  <c r="C53" i="4"/>
  <c r="C54" i="4" s="1"/>
  <c r="C56" i="4" s="1"/>
  <c r="C59" i="4" s="1"/>
  <c r="C72" i="4"/>
  <c r="C73" i="4" s="1"/>
  <c r="C74" i="4" s="1"/>
  <c r="C76" i="4" s="1"/>
  <c r="C79" i="4" s="1"/>
  <c r="F20" i="4"/>
  <c r="F12" i="4"/>
  <c r="E27" i="4"/>
  <c r="E21" i="4"/>
  <c r="I2" i="4"/>
  <c r="H6" i="4"/>
  <c r="H7" i="4" s="1"/>
  <c r="H8" i="4" s="1"/>
  <c r="H3" i="4"/>
  <c r="H4" i="4" s="1"/>
  <c r="H39" i="4"/>
  <c r="H15" i="4"/>
  <c r="H33" i="4"/>
  <c r="C30" i="4"/>
  <c r="C45" i="4" s="1"/>
  <c r="F55" i="4"/>
  <c r="F91" i="4"/>
  <c r="F75" i="4"/>
  <c r="G4" i="4"/>
  <c r="G31" i="4"/>
  <c r="G16" i="4"/>
  <c r="G17" i="4" s="1"/>
  <c r="F93" i="4"/>
  <c r="F77" i="4"/>
  <c r="F57" i="4"/>
  <c r="F17" i="4"/>
  <c r="G37" i="4"/>
  <c r="G34" i="4"/>
  <c r="G35" i="4" s="1"/>
  <c r="G11" i="4"/>
  <c r="G40" i="4"/>
  <c r="G78" i="4"/>
  <c r="G92" i="4"/>
  <c r="G58" i="4"/>
  <c r="G8" i="4"/>
  <c r="C60" i="4" l="1"/>
  <c r="C96" i="4"/>
  <c r="C80" i="4"/>
  <c r="H16" i="4"/>
  <c r="H17" i="4" s="1"/>
  <c r="H31" i="4"/>
  <c r="I33" i="4"/>
  <c r="I15" i="4"/>
  <c r="I3" i="4"/>
  <c r="I4" i="4" s="1"/>
  <c r="I39" i="4"/>
  <c r="I6" i="4"/>
  <c r="I7" i="4" s="1"/>
  <c r="I8" i="4" s="1"/>
  <c r="F27" i="4"/>
  <c r="F21" i="4"/>
  <c r="G12" i="4"/>
  <c r="G20" i="4"/>
  <c r="H40" i="4"/>
  <c r="H92" i="4"/>
  <c r="H58" i="4"/>
  <c r="H78" i="4"/>
  <c r="G55" i="4"/>
  <c r="G91" i="4"/>
  <c r="G75" i="4"/>
  <c r="H34" i="4"/>
  <c r="H35" i="4" s="1"/>
  <c r="H37" i="4"/>
  <c r="G57" i="4"/>
  <c r="G93" i="4"/>
  <c r="G77" i="4"/>
  <c r="H11" i="4"/>
  <c r="E52" i="4"/>
  <c r="E86" i="4"/>
  <c r="E88" i="4" s="1"/>
  <c r="E70" i="4"/>
  <c r="E29" i="4"/>
  <c r="I11" i="4" l="1"/>
  <c r="I20" i="4" s="1"/>
  <c r="I31" i="4"/>
  <c r="I16" i="4"/>
  <c r="I17" i="4" s="1"/>
  <c r="I37" i="4"/>
  <c r="I34" i="4"/>
  <c r="I35" i="4" s="1"/>
  <c r="E72" i="4"/>
  <c r="E73" i="4" s="1"/>
  <c r="E74" i="4" s="1"/>
  <c r="E76" i="4" s="1"/>
  <c r="E79" i="4" s="1"/>
  <c r="H20" i="4"/>
  <c r="H12" i="4"/>
  <c r="G27" i="4"/>
  <c r="G21" i="4"/>
  <c r="H57" i="4"/>
  <c r="H93" i="4"/>
  <c r="H77" i="4"/>
  <c r="E53" i="4"/>
  <c r="E54" i="4" s="1"/>
  <c r="E56" i="4" s="1"/>
  <c r="E59" i="4" s="1"/>
  <c r="I40" i="4"/>
  <c r="I92" i="4"/>
  <c r="I58" i="4"/>
  <c r="I78" i="4"/>
  <c r="H91" i="4"/>
  <c r="H75" i="4"/>
  <c r="H55" i="4"/>
  <c r="E90" i="4"/>
  <c r="E95" i="4" s="1"/>
  <c r="E30" i="4"/>
  <c r="E45" i="4" s="1"/>
  <c r="F86" i="4"/>
  <c r="F88" i="4" s="1"/>
  <c r="F90" i="4" s="1"/>
  <c r="F95" i="4" s="1"/>
  <c r="F70" i="4"/>
  <c r="F52" i="4"/>
  <c r="F29" i="4"/>
  <c r="F30" i="4" s="1"/>
  <c r="F45" i="4" s="1"/>
  <c r="I12" i="4" l="1"/>
  <c r="E60" i="4"/>
  <c r="C30" i="8"/>
  <c r="C32" i="8" s="1"/>
  <c r="C10" i="8"/>
  <c r="E80" i="4"/>
  <c r="C59" i="8"/>
  <c r="E96" i="4"/>
  <c r="C79" i="8"/>
  <c r="G86" i="4"/>
  <c r="G88" i="4" s="1"/>
  <c r="G90" i="4" s="1"/>
  <c r="G95" i="4" s="1"/>
  <c r="G70" i="4"/>
  <c r="G52" i="4"/>
  <c r="G29" i="4"/>
  <c r="I75" i="4"/>
  <c r="I55" i="4"/>
  <c r="I91" i="4"/>
  <c r="F72" i="4"/>
  <c r="F73" i="4" s="1"/>
  <c r="F74" i="4" s="1"/>
  <c r="F76" i="4" s="1"/>
  <c r="F79" i="4" s="1"/>
  <c r="F53" i="4"/>
  <c r="F54" i="4" s="1"/>
  <c r="F56" i="4" s="1"/>
  <c r="F59" i="4" s="1"/>
  <c r="D79" i="8"/>
  <c r="F96" i="4"/>
  <c r="H21" i="4"/>
  <c r="H27" i="4"/>
  <c r="I93" i="4"/>
  <c r="I77" i="4"/>
  <c r="I57" i="4"/>
  <c r="I27" i="4"/>
  <c r="I21" i="4"/>
  <c r="F60" i="4" l="1"/>
  <c r="D10" i="8"/>
  <c r="D30" i="8"/>
  <c r="D32" i="8" s="1"/>
  <c r="F80" i="4"/>
  <c r="D59" i="8"/>
  <c r="H86" i="4"/>
  <c r="H88" i="4" s="1"/>
  <c r="H90" i="4" s="1"/>
  <c r="H95" i="4" s="1"/>
  <c r="H70" i="4"/>
  <c r="H72" i="4" s="1"/>
  <c r="H73" i="4" s="1"/>
  <c r="H74" i="4" s="1"/>
  <c r="H76" i="4" s="1"/>
  <c r="H79" i="4" s="1"/>
  <c r="H52" i="4"/>
  <c r="H29" i="4"/>
  <c r="G30" i="4"/>
  <c r="G45" i="4" s="1"/>
  <c r="G53" i="4"/>
  <c r="G54" i="4" s="1"/>
  <c r="G56" i="4" s="1"/>
  <c r="G59" i="4" s="1"/>
  <c r="I52" i="4"/>
  <c r="I86" i="4"/>
  <c r="I88" i="4" s="1"/>
  <c r="I70" i="4"/>
  <c r="I29" i="4"/>
  <c r="G72" i="4"/>
  <c r="G73" i="4" s="1"/>
  <c r="G74" i="4" s="1"/>
  <c r="G76" i="4" s="1"/>
  <c r="G79" i="4" s="1"/>
  <c r="E79" i="8"/>
  <c r="I30" i="4" l="1"/>
  <c r="I45" i="4" s="1"/>
  <c r="I53" i="4"/>
  <c r="I54" i="4" s="1"/>
  <c r="I56" i="4" s="1"/>
  <c r="I59" i="4" s="1"/>
  <c r="G80" i="4"/>
  <c r="E59" i="8"/>
  <c r="F59" i="8"/>
  <c r="G96" i="4"/>
  <c r="H30" i="4"/>
  <c r="H45" i="4" s="1"/>
  <c r="H53" i="4"/>
  <c r="H54" i="4" s="1"/>
  <c r="H56" i="4" s="1"/>
  <c r="H59" i="4" s="1"/>
  <c r="H80" i="4" s="1"/>
  <c r="F79" i="8"/>
  <c r="G60" i="4"/>
  <c r="E30" i="8"/>
  <c r="E32" i="8" s="1"/>
  <c r="E10" i="8"/>
  <c r="I90" i="4"/>
  <c r="I95" i="4" s="1"/>
  <c r="I72" i="4"/>
  <c r="I73" i="4" s="1"/>
  <c r="I74" i="4" s="1"/>
  <c r="I76" i="4" s="1"/>
  <c r="I79" i="4" s="1"/>
  <c r="I96" i="4" l="1"/>
  <c r="G79" i="8"/>
  <c r="I80" i="4"/>
  <c r="G59" i="8"/>
  <c r="H96" i="4"/>
  <c r="I60" i="4"/>
  <c r="G10" i="8"/>
  <c r="G30" i="8"/>
  <c r="H60" i="4"/>
  <c r="F30" i="8"/>
  <c r="F32" i="8" s="1"/>
  <c r="F10" i="8"/>
  <c r="G32" i="8" l="1"/>
  <c r="H30" i="8"/>
  <c r="H31" i="8" s="1"/>
  <c r="H33" i="8" s="1"/>
  <c r="H59" i="8"/>
  <c r="H10" i="8"/>
  <c r="H79" i="8"/>
  <c r="B42" i="8" l="1"/>
  <c r="B44" i="8" s="1"/>
  <c r="B11" i="7" l="1"/>
  <c r="B48" i="8"/>
  <c r="B50" i="8" s="1"/>
  <c r="B52" i="8" s="1"/>
  <c r="B95" i="8" s="1"/>
  <c r="B30" i="7" l="1"/>
  <c r="B31" i="7"/>
  <c r="N6" i="7"/>
  <c r="N9" i="7" l="1"/>
  <c r="B6" i="7" s="1"/>
  <c r="N8" i="7"/>
  <c r="B18" i="7" s="1"/>
  <c r="B20" i="7" s="1"/>
  <c r="B34" i="7" s="1"/>
  <c r="B8" i="8" s="1"/>
  <c r="C9" i="8" l="1"/>
  <c r="H11" i="8"/>
  <c r="B52" i="7"/>
  <c r="B53" i="7" s="1"/>
  <c r="B57" i="8" s="1"/>
  <c r="B58" i="7"/>
  <c r="B77" i="8" s="1"/>
  <c r="C78" i="8" l="1"/>
  <c r="H80" i="8"/>
  <c r="C58" i="8"/>
  <c r="H60" i="8"/>
  <c r="D9" i="8"/>
  <c r="C12" i="8"/>
  <c r="E9" i="8" l="1"/>
  <c r="D12" i="8"/>
  <c r="D58" i="8"/>
  <c r="C61" i="8"/>
  <c r="D78" i="8"/>
  <c r="C81" i="8"/>
  <c r="E58" i="8" l="1"/>
  <c r="D61" i="8"/>
  <c r="F9" i="8"/>
  <c r="E12" i="8"/>
  <c r="E78" i="8"/>
  <c r="D81" i="8"/>
  <c r="G9" i="8" l="1"/>
  <c r="F12" i="8"/>
  <c r="F78" i="8"/>
  <c r="E81" i="8"/>
  <c r="F58" i="8"/>
  <c r="E61" i="8"/>
  <c r="G78" i="8" l="1"/>
  <c r="F81" i="8"/>
  <c r="G58" i="8"/>
  <c r="F61" i="8"/>
  <c r="H9" i="8"/>
  <c r="H13" i="8" s="1"/>
  <c r="G12" i="8"/>
  <c r="B15" i="8" l="1"/>
  <c r="B19" i="8" s="1"/>
  <c r="B21" i="8" s="1"/>
  <c r="B23" i="8" s="1"/>
  <c r="B94" i="8" s="1"/>
  <c r="H78" i="8"/>
  <c r="H82" i="8" s="1"/>
  <c r="G81" i="8"/>
  <c r="H58" i="8"/>
  <c r="H62" i="8" s="1"/>
  <c r="G61" i="8"/>
  <c r="B64" i="8" l="1"/>
  <c r="B68" i="8" s="1"/>
  <c r="B70" i="8" s="1"/>
  <c r="B72" i="8" s="1"/>
  <c r="B96" i="8" s="1"/>
  <c r="B84" i="8"/>
  <c r="B88" i="8" s="1"/>
  <c r="B90" i="8" s="1"/>
  <c r="B97" i="8" s="1"/>
  <c r="B5" i="10" s="1"/>
  <c r="C5" i="10"/>
  <c r="C13" i="10" l="1"/>
  <c r="B13" i="10"/>
  <c r="G5" i="10"/>
  <c r="D5" i="10"/>
  <c r="E5" i="10" l="1"/>
  <c r="D12" i="10"/>
  <c r="E12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SLX</author>
  </authors>
  <commentList>
    <comment ref="B4" authorId="0" shapeId="0" xr:uid="{21B6D305-4E67-2E40-82C0-467A9BB90247}">
      <text>
        <r>
          <rPr>
            <b/>
            <sz val="10"/>
            <color rgb="FF000000"/>
            <rFont val="Tahoma"/>
            <family val="2"/>
          </rPr>
          <t>SLX: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10Y US Treasury yield. </t>
        </r>
      </text>
    </comment>
    <comment ref="B11" authorId="0" shapeId="0" xr:uid="{8D5042B1-B434-AA4B-8A7D-F1B7EE747FCA}">
      <text>
        <r>
          <rPr>
            <b/>
            <sz val="10"/>
            <color rgb="FF000000"/>
            <rFont val="Tahoma"/>
            <family val="2"/>
          </rPr>
          <t>SLX: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Enterprise Value - Intrest bearing liabilites</t>
        </r>
      </text>
    </comment>
  </commentList>
</comments>
</file>

<file path=xl/sharedStrings.xml><?xml version="1.0" encoding="utf-8"?>
<sst xmlns="http://schemas.openxmlformats.org/spreadsheetml/2006/main" count="482" uniqueCount="373">
  <si>
    <t>(In millions, except per share data)</t>
  </si>
  <si>
    <t>Source: 2025 Annual Report (10-K)</t>
  </si>
  <si>
    <t>FY2023</t>
  </si>
  <si>
    <t>FY2024</t>
  </si>
  <si>
    <t>FY2025</t>
  </si>
  <si>
    <t>Revenues:</t>
  </si>
  <si>
    <t xml:space="preserve">  Cash and spot markets</t>
  </si>
  <si>
    <t xml:space="preserve">  Data Vantage</t>
  </si>
  <si>
    <t xml:space="preserve">  Derivatives markets</t>
  </si>
  <si>
    <t>Total revenues</t>
  </si>
  <si>
    <t>Cost of revenues:</t>
  </si>
  <si>
    <t xml:space="preserve">  Liquidity payments</t>
  </si>
  <si>
    <t xml:space="preserve">  Routing and clearing</t>
  </si>
  <si>
    <t xml:space="preserve">  Regulatory fees cost of revenues</t>
  </si>
  <si>
    <t xml:space="preserve">  Royalty fees and other cost of revenues</t>
  </si>
  <si>
    <t>Total cost of revenues</t>
  </si>
  <si>
    <t>Revenues less cost of revenues</t>
  </si>
  <si>
    <t>Operating expenses:</t>
  </si>
  <si>
    <t xml:space="preserve">  Compensation and benefits</t>
  </si>
  <si>
    <t xml:space="preserve">  Depreciation and amortization</t>
  </si>
  <si>
    <t xml:space="preserve">  Technology support services</t>
  </si>
  <si>
    <t xml:space="preserve">  Professional fees and outside services</t>
  </si>
  <si>
    <t xml:space="preserve">  Travel and promotional expenses</t>
  </si>
  <si>
    <t xml:space="preserve">  Facilities costs</t>
  </si>
  <si>
    <t xml:space="preserve">  Acquisition-related costs</t>
  </si>
  <si>
    <t xml:space="preserve">  Impairment of assets</t>
  </si>
  <si>
    <t xml:space="preserve">  Other expenses</t>
  </si>
  <si>
    <t>Total operating expenses</t>
  </si>
  <si>
    <t>Operating income</t>
  </si>
  <si>
    <t>Non-operating (expenses) income:</t>
  </si>
  <si>
    <t xml:space="preserve">  Interest expense</t>
  </si>
  <si>
    <t xml:space="preserve">  Interest income</t>
  </si>
  <si>
    <t xml:space="preserve">  Earnings on investments, net</t>
  </si>
  <si>
    <t xml:space="preserve">  Other income (expense), net</t>
  </si>
  <si>
    <t>Income before income tax provision</t>
  </si>
  <si>
    <t xml:space="preserve">  Income tax provision</t>
  </si>
  <si>
    <t>Net income</t>
  </si>
  <si>
    <t xml:space="preserve">  Net income allocated to participating securities</t>
  </si>
  <si>
    <t>Net income allocated to common stockholders</t>
  </si>
  <si>
    <t>Basic earnings per share</t>
  </si>
  <si>
    <t>Diluted earnings per share</t>
  </si>
  <si>
    <t>Basic weighted average shares outstanding</t>
  </si>
  <si>
    <t>Diluted weighted average shares outstanding</t>
  </si>
  <si>
    <t>(In millions, except share and per share data)</t>
  </si>
  <si>
    <t>Source: 2024 &amp; 2025 Annual Reports (10-K)</t>
  </si>
  <si>
    <t>As of December 31,</t>
  </si>
  <si>
    <t>Assets</t>
  </si>
  <si>
    <t>Current assets:</t>
  </si>
  <si>
    <t xml:space="preserve">  Cash and cash equivalents</t>
  </si>
  <si>
    <t xml:space="preserve">  Financial investments</t>
  </si>
  <si>
    <t xml:space="preserve">  Accounts receivable, net</t>
  </si>
  <si>
    <t xml:space="preserve">  Margin deposits, clearing funds, and interop funds</t>
  </si>
  <si>
    <t xml:space="preserve">  Digital assets - safeguarded assets</t>
  </si>
  <si>
    <t xml:space="preserve">  Income taxes receivable</t>
  </si>
  <si>
    <t xml:space="preserve">  Other current assets</t>
  </si>
  <si>
    <t>Total current assets</t>
  </si>
  <si>
    <t xml:space="preserve">  Investments</t>
  </si>
  <si>
    <t xml:space="preserve">  Property and equipment, net</t>
  </si>
  <si>
    <t xml:space="preserve">  Property held for sale</t>
  </si>
  <si>
    <t xml:space="preserve">  Operating lease right of use assets</t>
  </si>
  <si>
    <t xml:space="preserve">  Goodwill</t>
  </si>
  <si>
    <t xml:space="preserve">  Intangible assets, net</t>
  </si>
  <si>
    <t xml:space="preserve">  Other assets, net</t>
  </si>
  <si>
    <t>Total assets</t>
  </si>
  <si>
    <t>Liabilities and Stockholders' Equity</t>
  </si>
  <si>
    <t>Current liabilities:</t>
  </si>
  <si>
    <t xml:space="preserve">  Accounts payable and accrued liabilities</t>
  </si>
  <si>
    <t xml:space="preserve">  Section 31 fees payable</t>
  </si>
  <si>
    <t xml:space="preserve">  Deferred revenue</t>
  </si>
  <si>
    <t xml:space="preserve">  Digital assets - safeguarded liabilities</t>
  </si>
  <si>
    <t xml:space="preserve">  Income taxes payable</t>
  </si>
  <si>
    <t xml:space="preserve">  Current portion of contingent consideration</t>
  </si>
  <si>
    <t>Total current liabilities</t>
  </si>
  <si>
    <t xml:space="preserve">  Long-term debt</t>
  </si>
  <si>
    <t xml:space="preserve">  Non-current unrecognized tax benefits</t>
  </si>
  <si>
    <t xml:space="preserve">  Deferred income taxes</t>
  </si>
  <si>
    <t xml:space="preserve">  Non-current operating lease liabilities</t>
  </si>
  <si>
    <t xml:space="preserve">  Other non-current liabilities</t>
  </si>
  <si>
    <t>Total liabilities</t>
  </si>
  <si>
    <t>Stockholders' equity:</t>
  </si>
  <si>
    <t xml:space="preserve">  Common stock</t>
  </si>
  <si>
    <t xml:space="preserve">  Common stock in treasury, at cost</t>
  </si>
  <si>
    <t xml:space="preserve">  Additional paid-in capital</t>
  </si>
  <si>
    <t xml:space="preserve">  Retained earnings</t>
  </si>
  <si>
    <t xml:space="preserve">  Accumulated other comprehensive income (loss), net</t>
  </si>
  <si>
    <t>Total stockholders' equity</t>
  </si>
  <si>
    <t>Total liabilities and stockholders' equity</t>
  </si>
  <si>
    <t>Year Ended December 31</t>
  </si>
  <si>
    <t>Net Revenue</t>
  </si>
  <si>
    <t>CAGR</t>
  </si>
  <si>
    <t>Average CAGR</t>
  </si>
  <si>
    <t>Operating Expenses (norm., ex-D&amp;A)</t>
  </si>
  <si>
    <t>OpEx / Net Revenue</t>
  </si>
  <si>
    <t>Average OpEx / Net Revenue</t>
  </si>
  <si>
    <t>Average OpEx/NR (assumptions)</t>
  </si>
  <si>
    <t>EBITDA</t>
  </si>
  <si>
    <t>EBITDA / Net Revenue</t>
  </si>
  <si>
    <t>D&amp;A</t>
  </si>
  <si>
    <t>D&amp;A / Net Revenue</t>
  </si>
  <si>
    <t>Average D&amp;A / Net Revenue</t>
  </si>
  <si>
    <t>Average (assumptions)</t>
  </si>
  <si>
    <t>EBIT (Normalized)</t>
  </si>
  <si>
    <t>EBIT / Net Revenue (ROS)</t>
  </si>
  <si>
    <t>EBIT</t>
  </si>
  <si>
    <t>Effective Tax Rate</t>
  </si>
  <si>
    <t>Taxes</t>
  </si>
  <si>
    <t>NOPLAT</t>
  </si>
  <si>
    <t>Operational NWC</t>
  </si>
  <si>
    <t>NWC / Net Revenue</t>
  </si>
  <si>
    <t>NWC/NR Average</t>
  </si>
  <si>
    <t>NWC/NR Average (assumptions)</t>
  </si>
  <si>
    <t>CAPEX</t>
  </si>
  <si>
    <t>CAPEX / Net Revenue</t>
  </si>
  <si>
    <t>CAPEX/NR Historic Average</t>
  </si>
  <si>
    <t>CAPEX/NR Average (assumptions)</t>
  </si>
  <si>
    <t>FCFF</t>
  </si>
  <si>
    <t>- Delta NWC</t>
  </si>
  <si>
    <t>CBOE GLOBAL MARKETS</t>
  </si>
  <si>
    <t>BALANCE SHEET</t>
  </si>
  <si>
    <t>ICOME STATEMENT</t>
  </si>
  <si>
    <t>CASH FLOW CALCULATION</t>
  </si>
  <si>
    <t>2023 (PLANNED)</t>
  </si>
  <si>
    <t>2024 (PLANNED)</t>
  </si>
  <si>
    <t>2025 (PLANNED)</t>
  </si>
  <si>
    <t>2026 (FORECAST)</t>
  </si>
  <si>
    <t>2027 (FORECAST)</t>
  </si>
  <si>
    <t>2028 (FORECAST)</t>
  </si>
  <si>
    <t>2029 (FORECAST)</t>
  </si>
  <si>
    <t>2030 (FORECAST)</t>
  </si>
  <si>
    <t>Assumption</t>
  </si>
  <si>
    <t>Net Revenue growth</t>
  </si>
  <si>
    <t>OpEx (norm., ex-D&amp;A) / Net Revenue</t>
  </si>
  <si>
    <t>Tax rate</t>
  </si>
  <si>
    <t>Operational NWC / Net Revenue</t>
  </si>
  <si>
    <t>WACC APPROACH</t>
  </si>
  <si>
    <t>APV APPROACH (Adjusted Present Value)</t>
  </si>
  <si>
    <t>Operating Free Cash Flow</t>
  </si>
  <si>
    <t>Operating result (EBIT)</t>
  </si>
  <si>
    <t>Net Operating Profit Less Adjusted Taxes (NOPLAT)</t>
  </si>
  <si>
    <t>+ Depreciation and amortization</t>
  </si>
  <si>
    <t>Gross cash flow</t>
  </si>
  <si>
    <t>- Change in net working capital (Delta NWC)</t>
  </si>
  <si>
    <t>Operating free cash flow (oFCF)</t>
  </si>
  <si>
    <t>Control: oFCF = FCFF (WACC approach, row 43)</t>
  </si>
  <si>
    <t>Tax Shield Cash Flow</t>
  </si>
  <si>
    <t>Financial expenses (interest expense)</t>
  </si>
  <si>
    <t>* Tax rate</t>
  </si>
  <si>
    <t>Tax shield cash flow</t>
  </si>
  <si>
    <t>- Adjusted taxes (on EBIT)</t>
  </si>
  <si>
    <t>- Capital expenditures (CAPEX, net)</t>
  </si>
  <si>
    <t>TCF APPROACH (Total Cash Flow)</t>
  </si>
  <si>
    <t>- Financial expenses</t>
  </si>
  <si>
    <t>= EBIT less financial expenses</t>
  </si>
  <si>
    <t>Taxes on (EBIT less financial expenses)</t>
  </si>
  <si>
    <t>Earnings before interest after taxes incl. tax shield</t>
  </si>
  <si>
    <t>Total Cash Flow (TCF)</t>
  </si>
  <si>
    <t>Control: TCF = oFCF + Tax shield</t>
  </si>
  <si>
    <t>EQUITY APPROACH (FCFE)</t>
  </si>
  <si>
    <t>Cash flow to Equity (liquidity and financial investments as non-operating assets)</t>
  </si>
  <si>
    <t>Income before income taxes (EBT*)</t>
  </si>
  <si>
    <t>- Income taxes</t>
  </si>
  <si>
    <t>Income after taxes</t>
  </si>
  <si>
    <t>Cash flow to Equity (FCFE)</t>
  </si>
  <si>
    <t>Control: FCFE = FCFF - Fin. expenses x (1 - tax rate) + Net borrowing</t>
  </si>
  <si>
    <t>+ Change in long-term debt (net borrowing)</t>
  </si>
  <si>
    <t>COST OF EQUITY (t0) — Cboe Global Markets</t>
  </si>
  <si>
    <t>Market data — inputs (placeholder, to be updated)</t>
  </si>
  <si>
    <t>Riskfree rate of return</t>
  </si>
  <si>
    <t>Market risk premium</t>
  </si>
  <si>
    <t>Risk premium (spread) on debt</t>
  </si>
  <si>
    <t>Market value of equity = e</t>
  </si>
  <si>
    <t>Beta (unlevered)</t>
  </si>
  <si>
    <t>Cost of Equity (levered)</t>
  </si>
  <si>
    <t>Beta (levered)</t>
  </si>
  <si>
    <t>Cost of equity (levered)</t>
  </si>
  <si>
    <t>Cost of debt</t>
  </si>
  <si>
    <t>Risk premium (spread)</t>
  </si>
  <si>
    <t>Cost of debt before taxes</t>
  </si>
  <si>
    <t>Taxation</t>
  </si>
  <si>
    <t>Cost of debt after taxes</t>
  </si>
  <si>
    <t>Capital structure</t>
  </si>
  <si>
    <t>Equity ratio at market values</t>
  </si>
  <si>
    <t>Debt ratio at market values</t>
  </si>
  <si>
    <t>Weighted Average Cost of Capital (WACC)</t>
  </si>
  <si>
    <t>WACC</t>
  </si>
  <si>
    <t>APV APPROACH</t>
  </si>
  <si>
    <t>Cost of Equity (unlevered)</t>
  </si>
  <si>
    <t>Cost of equity (unlevered)</t>
  </si>
  <si>
    <t>Cost of debt before taxes (discount rate for the tax shield)</t>
  </si>
  <si>
    <t>TCF APPROACH</t>
  </si>
  <si>
    <t>WACC without tax shield</t>
  </si>
  <si>
    <t>EQUITY APPROACH</t>
  </si>
  <si>
    <t>Terminal growth rate (g)</t>
  </si>
  <si>
    <t>Discounted Cash Flow (DCF) Valuation in accordance with the WACC Approach</t>
  </si>
  <si>
    <t>$ million</t>
  </si>
  <si>
    <t>Actual t0 (2025)</t>
  </si>
  <si>
    <t>Plan t1 (2026)</t>
  </si>
  <si>
    <t>Plan t2 (2027)</t>
  </si>
  <si>
    <t>Plan t3 (2028)</t>
  </si>
  <si>
    <t>Plan t4 (2029)</t>
  </si>
  <si>
    <t>Plan t5 (2030)</t>
  </si>
  <si>
    <t>TV</t>
  </si>
  <si>
    <t>Discount factors</t>
  </si>
  <si>
    <t>Operating free cash flows</t>
  </si>
  <si>
    <t>Terminal value</t>
  </si>
  <si>
    <t>Present value of operating free cash flows</t>
  </si>
  <si>
    <t>Present value of terminal value</t>
  </si>
  <si>
    <t>Enterprise value</t>
  </si>
  <si>
    <t>+ Cash and cash equivalents</t>
  </si>
  <si>
    <t>Entity value</t>
  </si>
  <si>
    <t>- Interest-bearing liabilities (market value of debt)</t>
  </si>
  <si>
    <t>Equity value 100% consolidated</t>
  </si>
  <si>
    <t>Equity value</t>
  </si>
  <si>
    <t>+ Financial investments</t>
  </si>
  <si>
    <t>+ Investments accounted for using the equity method</t>
  </si>
  <si>
    <t>- Equity attributable to non-controlling interest</t>
  </si>
  <si>
    <t>Discounted Cash Flow (DCF) Valuation in accordance with the APV Approach</t>
  </si>
  <si>
    <t>Tax shield cash flows</t>
  </si>
  <si>
    <t>Present value of tax shield cash flows</t>
  </si>
  <si>
    <t>Sum of present values of operating free cash flows and TV</t>
  </si>
  <si>
    <t>Sum of present values of tax shield cash flows and TV</t>
  </si>
  <si>
    <t>Discounted Cash Flow (DCF) Valuation in accordance with the TCF Approach</t>
  </si>
  <si>
    <t>WACC (without tax shield)</t>
  </si>
  <si>
    <t>Total cash flows</t>
  </si>
  <si>
    <t>Present value of total cash flows</t>
  </si>
  <si>
    <t>Discounted Cash Flow (DCF) Valuation in accordance with the Equity Approach (version 1: liquidity as non-operating asset)</t>
  </si>
  <si>
    <t>Cash flows to equity</t>
  </si>
  <si>
    <t>Terminal value in t5</t>
  </si>
  <si>
    <t>Present value of cash flows to equity</t>
  </si>
  <si>
    <t>Sum of PV of cash flows to equity and TV = equity value of the operating business (fully consolidated)</t>
  </si>
  <si>
    <t>Equity value of the operating business and non-operating assets (100% consolidated)</t>
  </si>
  <si>
    <t>WACC Approach</t>
  </si>
  <si>
    <t>APV Approach</t>
  </si>
  <si>
    <t>TCF Approach</t>
  </si>
  <si>
    <t>Equity Approach</t>
  </si>
  <si>
    <t>1. Peer-group trading multiples (current, FY2025A)</t>
  </si>
  <si>
    <t>Peer company</t>
  </si>
  <si>
    <t>Price/Book</t>
  </si>
  <si>
    <t>Price/Earnings</t>
  </si>
  <si>
    <t>EV/Sales</t>
  </si>
  <si>
    <t>EV/EBITDA</t>
  </si>
  <si>
    <t>EV/EBIT</t>
  </si>
  <si>
    <t>CME Group (CME)</t>
  </si>
  <si>
    <t>Intercontinental Exchange (ICE)</t>
  </si>
  <si>
    <t>Nasdaq, Inc. (NDAQ)</t>
  </si>
  <si>
    <t>Deutsche Börse (DB1)</t>
  </si>
  <si>
    <t>London Stock Exchange Group (LSEG)</t>
  </si>
  <si>
    <t>Minimum</t>
  </si>
  <si>
    <t>Median</t>
  </si>
  <si>
    <t>Mean</t>
  </si>
  <si>
    <t>Maximum</t>
  </si>
  <si>
    <t>2. CBOE operating metrics (FY2025A)</t>
  </si>
  <si>
    <t>$M</t>
  </si>
  <si>
    <t>Net Revenue (revenues less cost of revenues)</t>
  </si>
  <si>
    <t>EBIT (operating income)</t>
  </si>
  <si>
    <t>Book value of equity</t>
  </si>
  <si>
    <t>Net cash / (debt) bridge to equity</t>
  </si>
  <si>
    <t>Diluted shares outstanding (m)</t>
  </si>
  <si>
    <t>Depreciation &amp; amortization (add-back)</t>
  </si>
  <si>
    <t>Cash and cash equivalents</t>
  </si>
  <si>
    <t>Financial investments</t>
  </si>
  <si>
    <t>Investments (equity method)</t>
  </si>
  <si>
    <t>Interest-bearing debt (less)</t>
  </si>
  <si>
    <t>3. Implied valuation — Equity Value ($M)</t>
  </si>
  <si>
    <t>Multiple</t>
  </si>
  <si>
    <t>CBOE metric</t>
  </si>
  <si>
    <t>Low ×</t>
  </si>
  <si>
    <t>Median ×</t>
  </si>
  <si>
    <t>High ×</t>
  </si>
  <si>
    <t>Equity Low</t>
  </si>
  <si>
    <t>Equity Median</t>
  </si>
  <si>
    <t>Equity High</t>
  </si>
  <si>
    <t>Price / Book</t>
  </si>
  <si>
    <t>Price / Earnings</t>
  </si>
  <si>
    <t>EV / Sales</t>
  </si>
  <si>
    <t>EV / EBITDA</t>
  </si>
  <si>
    <t>EV / EBIT</t>
  </si>
  <si>
    <t>Method</t>
  </si>
  <si>
    <t>Low</t>
  </si>
  <si>
    <t>High</t>
  </si>
  <si>
    <t>Midpoint</t>
  </si>
  <si>
    <t>Per share (mid) $</t>
  </si>
  <si>
    <t>DCF (WACC / APV / TCF / Equity)</t>
  </si>
  <si>
    <t>Median of method midpoints</t>
  </si>
  <si>
    <t>Full range across methods (low–high)</t>
  </si>
  <si>
    <t>Base (low)</t>
  </si>
  <si>
    <t>BETA — BOTTOM-UP FROM COMPARABLES</t>
  </si>
  <si>
    <t>D / E</t>
  </si>
  <si>
    <t>Mean (unlevered)</t>
  </si>
  <si>
    <t>Median (unlevered)</t>
  </si>
  <si>
    <t>RELEVERING TO CBOE</t>
  </si>
  <si>
    <t>CBOE gearing (d / e)</t>
  </si>
  <si>
    <t>CBOE tax rate</t>
  </si>
  <si>
    <t>Beta (levered) =&gt; bottom-up from peers</t>
  </si>
  <si>
    <t>Ccy</t>
  </si>
  <si>
    <t>Total debt (bn)</t>
  </si>
  <si>
    <t>Market cap (bn)</t>
  </si>
  <si>
    <t>USD</t>
  </si>
  <si>
    <t>EUR</t>
  </si>
  <si>
    <t>GBP</t>
  </si>
  <si>
    <t>Risk Premium</t>
  </si>
  <si>
    <t xml:space="preserve"> EV/EBIT</t>
  </si>
  <si>
    <t xml:space="preserve"> Price/Earnings</t>
  </si>
  <si>
    <t xml:space="preserve"> EV/EBITDA</t>
  </si>
  <si>
    <t xml:space="preserve"> EV/Sales</t>
  </si>
  <si>
    <t>CASH FLOW STATEMENT</t>
  </si>
  <si>
    <t>(In millions)</t>
  </si>
  <si>
    <t>Cash flows from operating activities:</t>
  </si>
  <si>
    <t xml:space="preserve">  Net income</t>
  </si>
  <si>
    <t xml:space="preserve">  Adjustments to reconcile net income to net cash provided by operating activities:</t>
  </si>
  <si>
    <t xml:space="preserve">    Depreciation and amortization</t>
  </si>
  <si>
    <t xml:space="preserve">    Impairment of assets</t>
  </si>
  <si>
    <t xml:space="preserve">    Stock-based compensation expense</t>
  </si>
  <si>
    <t xml:space="preserve">    (Gain) impairment of minority investments</t>
  </si>
  <si>
    <t xml:space="preserve">    Change in contingent consideration</t>
  </si>
  <si>
    <t xml:space="preserve">    Equity earnings on investments</t>
  </si>
  <si>
    <t xml:space="preserve">    Benefit for deferred income taxes</t>
  </si>
  <si>
    <t xml:space="preserve">    Other loss (gain) adjustments, net</t>
  </si>
  <si>
    <t xml:space="preserve">  Changes in assets and liabilities:</t>
  </si>
  <si>
    <t xml:space="preserve">    Accounts receivable</t>
  </si>
  <si>
    <t xml:space="preserve">    Restricted cash and customer bank deposits</t>
  </si>
  <si>
    <t xml:space="preserve">    Income taxes receivable</t>
  </si>
  <si>
    <t xml:space="preserve">    Other current assets</t>
  </si>
  <si>
    <t xml:space="preserve">    Other assets</t>
  </si>
  <si>
    <t xml:space="preserve">    Accounts payable and accrued liabilities</t>
  </si>
  <si>
    <t xml:space="preserve">    Section 31 fees payable</t>
  </si>
  <si>
    <t xml:space="preserve">    Deferred revenue</t>
  </si>
  <si>
    <t xml:space="preserve">    Income taxes payable</t>
  </si>
  <si>
    <t xml:space="preserve">    Unrecognized tax benefits</t>
  </si>
  <si>
    <t xml:space="preserve">    Other liabilities</t>
  </si>
  <si>
    <t>Net cash flows provided by operating activities</t>
  </si>
  <si>
    <t>Cash flows from investing activities:</t>
  </si>
  <si>
    <t xml:space="preserve">  Proceeds from investments</t>
  </si>
  <si>
    <t xml:space="preserve">  Contributions to investments</t>
  </si>
  <si>
    <t xml:space="preserve">  Purchases of available-for-sale financial investments</t>
  </si>
  <si>
    <t xml:space="preserve">  Proceeds from maturities of available-for-sale financial investments</t>
  </si>
  <si>
    <t xml:space="preserve">  Proceeds from sale of intangible assets</t>
  </si>
  <si>
    <t xml:space="preserve">  Proceeds from sale of property held for sale</t>
  </si>
  <si>
    <t xml:space="preserve">  Proceeds from sale of property and equipment</t>
  </si>
  <si>
    <t xml:space="preserve">  Proceeds from notes receivable</t>
  </si>
  <si>
    <t xml:space="preserve">  Proceeds from insurance</t>
  </si>
  <si>
    <t xml:space="preserve">  Purchases of property and equipment and leasehold improvements, net</t>
  </si>
  <si>
    <t>Net cash flows provided by (used in) investing activities</t>
  </si>
  <si>
    <t>Cash flows from financing activities:</t>
  </si>
  <si>
    <t xml:space="preserve">  Principal payments of current portion of long-term debt</t>
  </si>
  <si>
    <t xml:space="preserve">  Cash dividends on common stock</t>
  </si>
  <si>
    <t xml:space="preserve">  Repurchases of common stock from employee stock plans</t>
  </si>
  <si>
    <t xml:space="preserve">  Shares issued under employee stock purchase plan</t>
  </si>
  <si>
    <t xml:space="preserve">  Payments of contingent consideration related to acquisitions</t>
  </si>
  <si>
    <t xml:space="preserve">  Payments for Cboe Digital non-recourse notes and warrants wind down</t>
  </si>
  <si>
    <t xml:space="preserve">  Purchase of common stock, including commissions and excise taxes</t>
  </si>
  <si>
    <t>Net cash flows used in financing activities</t>
  </si>
  <si>
    <t>Effect of foreign exchange rate changes on cash</t>
  </si>
  <si>
    <t>Net increase in cash, cash equivalents, and restricted cash</t>
  </si>
  <si>
    <t>Cash, cash equivalents, and restricted cash, beginning of period</t>
  </si>
  <si>
    <t>Cash, cash equivalents, and restricted cash, end of period</t>
  </si>
  <si>
    <t>Value of the e (added before calculate EV)</t>
  </si>
  <si>
    <t>CBOE: DCF FORECAST ASSUMPTIONS (2026–2030)</t>
  </si>
  <si>
    <t>Interest-bearing liabilities ((Long Term Debt)</t>
  </si>
  <si>
    <t>DCF VALUATION Cboe Global Markets</t>
  </si>
  <si>
    <t xml:space="preserve">Implied equity value </t>
  </si>
  <si>
    <t>FOOTBALL FIELD, Valuation Summary (Equity Value)</t>
  </si>
  <si>
    <t>Cost of equity (levered), discount rate for FCFE</t>
  </si>
  <si>
    <t xml:space="preserve">TRADING MULTIPLES VALUATION </t>
  </si>
  <si>
    <t>Beta (unlevered), peer mean</t>
  </si>
  <si>
    <t>Beta (unlevered), peer median</t>
  </si>
  <si>
    <t>Beta (levered) , relevered (mean)</t>
  </si>
  <si>
    <t>Beta (levered), relevered (median)</t>
  </si>
  <si>
    <t>By contrast, the trading multiples exhibit significantly greater variability, reflecting differences in market sentiment, peer selection, and the limitations inherent in relative valuation methods.</t>
  </si>
  <si>
    <t>Therefore, I would place greater weight on the DCF-based intrinsic valuation and consider an equity value slightly below USD 25M  as the most reasonable estimate for CBOE Global Market</t>
  </si>
  <si>
    <t>Span (H-L)</t>
  </si>
  <si>
    <t>The DCF valuation shows relatively low dispersion across the different approaches (as expected)</t>
  </si>
  <si>
    <t>VALUATION SUMMARY,  EQUITY VALUE BY APPROACH ($M)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</si>
</sst>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"/>
    <numFmt numFmtId="165" formatCode="#,##0.0;\(#,##0.0\);&quot;-&quot;"/>
    <numFmt numFmtId="166" formatCode="&quot;€&quot;#,##0.00"/>
    <numFmt numFmtId="167" formatCode="#,##0.0;\(#,##0.0\);\-"/>
    <numFmt numFmtId="168" formatCode="0.0%"/>
    <numFmt numFmtId="169" formatCode="0.0%;\(0.0%\)"/>
    <numFmt numFmtId="170" formatCode="0.000"/>
    <numFmt numFmtId="171" formatCode="#,##0;\(#,##0\);&quot;-&quot;"/>
    <numFmt numFmtId="172" formatCode="0.0&quot;x&quot;"/>
  </numFmts>
  <fonts count="43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2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i/>
      <sz val="10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i/>
      <sz val="12"/>
      <color rgb="FF999999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i/>
      <sz val="12"/>
      <color rgb="FF808080"/>
      <name val="Aptos Narrow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0"/>
      <name val="Aptos Narrow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8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i/>
      <sz val="9"/>
      <color rgb="FF595959"/>
      <name val="Aptos Narrow"/>
      <family val="2"/>
      <scheme val="minor"/>
    </font>
    <font>
      <sz val="9"/>
      <color rgb="FF7F7F7F"/>
      <name val="Aptos Narrow"/>
      <family val="2"/>
      <scheme val="minor"/>
    </font>
    <font>
      <i/>
      <sz val="9"/>
      <color rgb="FF7F7F7F"/>
      <name val="Aptos Narrow"/>
      <family val="2"/>
      <scheme val="minor"/>
    </font>
    <font>
      <sz val="12"/>
      <color rgb="FF000000"/>
      <name val="Aptos Narrow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b/>
      <sz val="14"/>
      <color rgb="FFFFFFFF"/>
      <name val="Aptos Narrow"/>
      <scheme val="minor"/>
    </font>
    <font>
      <i/>
      <sz val="10"/>
      <color rgb="FFFFFFFF"/>
      <name val="Aptos Narrow"/>
      <scheme val="minor"/>
    </font>
    <font>
      <i/>
      <sz val="9"/>
      <color rgb="FFFFFFFF"/>
      <name val="Aptos Narrow"/>
      <scheme val="minor"/>
    </font>
    <font>
      <i/>
      <sz val="12"/>
      <color rgb="FF000000"/>
      <name val="Aptos Narrow"/>
      <scheme val="minor"/>
    </font>
    <font>
      <b/>
      <sz val="14"/>
      <color rgb="FFFF0000"/>
      <name val="Aptos Narrow"/>
      <family val="2"/>
      <scheme val="minor"/>
    </font>
    <font>
      <i/>
      <sz val="12"/>
      <color theme="1"/>
      <name val="Aptos Narrow"/>
      <scheme val="minor"/>
    </font>
    <font>
      <i/>
      <sz val="9"/>
      <color theme="1"/>
      <name val="Aptos Narrow"/>
      <scheme val="minor"/>
    </font>
    <font>
      <sz val="12"/>
      <name val="Aptos Narrow"/>
      <scheme val="minor"/>
    </font>
    <font>
      <i/>
      <sz val="12"/>
      <name val="Aptos Narrow"/>
      <scheme val="minor"/>
    </font>
    <font>
      <sz val="12"/>
      <color theme="0"/>
      <name val="Aptos Narrow"/>
      <scheme val="minor"/>
    </font>
    <font>
      <i/>
      <sz val="12"/>
      <name val="Aptos Narrow"/>
      <family val="2"/>
      <scheme val="minor"/>
    </font>
    <font>
      <sz val="12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164" fontId="2" fillId="0" borderId="0" xfId="0" applyNumberFormat="1" applyFont="1"/>
    <xf numFmtId="165" fontId="2" fillId="0" borderId="0" xfId="0" applyNumberFormat="1" applyFont="1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0" borderId="2" xfId="0" applyFont="1" applyBorder="1"/>
    <xf numFmtId="164" fontId="1" fillId="0" borderId="2" xfId="0" applyNumberFormat="1" applyFont="1" applyBorder="1"/>
    <xf numFmtId="0" fontId="1" fillId="4" borderId="2" xfId="0" applyFont="1" applyFill="1" applyBorder="1"/>
    <xf numFmtId="164" fontId="1" fillId="4" borderId="2" xfId="0" applyNumberFormat="1" applyFont="1" applyFill="1" applyBorder="1"/>
    <xf numFmtId="0" fontId="1" fillId="5" borderId="2" xfId="0" applyFont="1" applyFill="1" applyBorder="1"/>
    <xf numFmtId="164" fontId="1" fillId="5" borderId="3" xfId="0" applyNumberFormat="1" applyFont="1" applyFill="1" applyBorder="1"/>
    <xf numFmtId="0" fontId="1" fillId="6" borderId="0" xfId="0" applyFont="1" applyFill="1"/>
    <xf numFmtId="0" fontId="3" fillId="6" borderId="0" xfId="0" applyFont="1" applyFill="1"/>
    <xf numFmtId="0" fontId="0" fillId="6" borderId="0" xfId="0" applyFill="1"/>
    <xf numFmtId="0" fontId="3" fillId="5" borderId="2" xfId="0" applyFont="1" applyFill="1" applyBorder="1"/>
    <xf numFmtId="164" fontId="1" fillId="5" borderId="2" xfId="0" applyNumberFormat="1" applyFont="1" applyFill="1" applyBorder="1"/>
    <xf numFmtId="0" fontId="9" fillId="0" borderId="0" xfId="0" applyFont="1"/>
    <xf numFmtId="164" fontId="9" fillId="0" borderId="0" xfId="0" applyNumberFormat="1" applyFont="1"/>
    <xf numFmtId="0" fontId="12" fillId="0" borderId="0" xfId="0" applyFont="1"/>
    <xf numFmtId="0" fontId="1" fillId="0" borderId="4" xfId="0" applyFont="1" applyBorder="1"/>
    <xf numFmtId="0" fontId="1" fillId="8" borderId="5" xfId="0" applyFont="1" applyFill="1" applyBorder="1"/>
    <xf numFmtId="167" fontId="2" fillId="0" borderId="0" xfId="0" applyNumberFormat="1" applyFont="1" applyAlignment="1">
      <alignment horizontal="right"/>
    </xf>
    <xf numFmtId="167" fontId="1" fillId="8" borderId="5" xfId="0" applyNumberFormat="1" applyFon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68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7" fontId="0" fillId="0" borderId="0" xfId="0" applyNumberFormat="1" applyAlignment="1">
      <alignment horizontal="right"/>
    </xf>
    <xf numFmtId="0" fontId="0" fillId="7" borderId="0" xfId="0" applyFill="1" applyAlignment="1">
      <alignment horizontal="right"/>
    </xf>
    <xf numFmtId="0" fontId="1" fillId="8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5" fillId="10" borderId="0" xfId="0" applyFont="1" applyFill="1"/>
    <xf numFmtId="0" fontId="17" fillId="0" borderId="0" xfId="0" applyFont="1"/>
    <xf numFmtId="0" fontId="11" fillId="0" borderId="0" xfId="0" applyFont="1"/>
    <xf numFmtId="0" fontId="6" fillId="11" borderId="0" xfId="0" applyFont="1" applyFill="1"/>
    <xf numFmtId="0" fontId="6" fillId="11" borderId="0" xfId="0" applyFont="1" applyFill="1" applyAlignment="1">
      <alignment horizontal="center"/>
    </xf>
    <xf numFmtId="168" fontId="19" fillId="0" borderId="0" xfId="0" applyNumberFormat="1" applyFont="1" applyAlignment="1">
      <alignment horizontal="right"/>
    </xf>
    <xf numFmtId="0" fontId="15" fillId="7" borderId="0" xfId="0" applyFont="1" applyFill="1"/>
    <xf numFmtId="0" fontId="6" fillId="7" borderId="0" xfId="0" applyFont="1" applyFill="1"/>
    <xf numFmtId="0" fontId="0" fillId="7" borderId="0" xfId="0" applyFill="1"/>
    <xf numFmtId="0" fontId="1" fillId="0" borderId="7" xfId="0" applyFont="1" applyBorder="1"/>
    <xf numFmtId="0" fontId="1" fillId="8" borderId="8" xfId="0" applyFont="1" applyFill="1" applyBorder="1"/>
    <xf numFmtId="0" fontId="0" fillId="0" borderId="0" xfId="0" quotePrefix="1"/>
    <xf numFmtId="167" fontId="0" fillId="0" borderId="7" xfId="0" applyNumberFormat="1" applyBorder="1" applyAlignment="1">
      <alignment horizontal="right"/>
    </xf>
    <xf numFmtId="167" fontId="1" fillId="8" borderId="8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/>
    </xf>
    <xf numFmtId="0" fontId="1" fillId="0" borderId="7" xfId="0" quotePrefix="1" applyFont="1" applyBorder="1"/>
    <xf numFmtId="0" fontId="4" fillId="7" borderId="0" xfId="0" applyFont="1" applyFill="1"/>
    <xf numFmtId="2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0" fontId="1" fillId="8" borderId="8" xfId="0" applyNumberFormat="1" applyFont="1" applyFill="1" applyBorder="1" applyAlignment="1">
      <alignment horizontal="right"/>
    </xf>
    <xf numFmtId="0" fontId="1" fillId="0" borderId="9" xfId="0" applyFont="1" applyBorder="1"/>
    <xf numFmtId="0" fontId="21" fillId="0" borderId="0" xfId="0" applyFont="1"/>
    <xf numFmtId="0" fontId="0" fillId="13" borderId="0" xfId="0" applyFill="1"/>
    <xf numFmtId="168" fontId="0" fillId="13" borderId="0" xfId="0" applyNumberFormat="1" applyFill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14" borderId="0" xfId="0" applyFill="1"/>
    <xf numFmtId="167" fontId="1" fillId="14" borderId="0" xfId="0" applyNumberFormat="1" applyFont="1" applyFill="1" applyAlignment="1">
      <alignment horizontal="right"/>
    </xf>
    <xf numFmtId="0" fontId="1" fillId="13" borderId="0" xfId="0" applyFont="1" applyFill="1"/>
    <xf numFmtId="167" fontId="1" fillId="13" borderId="0" xfId="0" applyNumberFormat="1" applyFont="1" applyFill="1" applyAlignment="1">
      <alignment horizontal="right"/>
    </xf>
    <xf numFmtId="0" fontId="20" fillId="0" borderId="0" xfId="0" applyFont="1" applyAlignment="1">
      <alignment horizontal="center"/>
    </xf>
    <xf numFmtId="0" fontId="20" fillId="13" borderId="0" xfId="0" applyFont="1" applyFill="1" applyAlignment="1">
      <alignment horizontal="center"/>
    </xf>
    <xf numFmtId="0" fontId="6" fillId="15" borderId="0" xfId="0" applyFont="1" applyFill="1"/>
    <xf numFmtId="0" fontId="0" fillId="15" borderId="0" xfId="0" applyFill="1"/>
    <xf numFmtId="0" fontId="22" fillId="0" borderId="0" xfId="0" applyFont="1"/>
    <xf numFmtId="0" fontId="6" fillId="15" borderId="0" xfId="0" applyFont="1" applyFill="1" applyAlignment="1">
      <alignment horizontal="right"/>
    </xf>
    <xf numFmtId="0" fontId="23" fillId="0" borderId="0" xfId="0" applyFont="1"/>
    <xf numFmtId="0" fontId="1" fillId="3" borderId="10" xfId="0" applyFont="1" applyFill="1" applyBorder="1"/>
    <xf numFmtId="0" fontId="1" fillId="3" borderId="10" xfId="0" applyFont="1" applyFill="1" applyBorder="1" applyAlignment="1">
      <alignment horizontal="center"/>
    </xf>
    <xf numFmtId="0" fontId="0" fillId="0" borderId="10" xfId="0" applyBorder="1"/>
    <xf numFmtId="172" fontId="0" fillId="0" borderId="10" xfId="0" applyNumberFormat="1" applyBorder="1"/>
    <xf numFmtId="0" fontId="1" fillId="0" borderId="10" xfId="0" applyFont="1" applyBorder="1"/>
    <xf numFmtId="172" fontId="18" fillId="0" borderId="10" xfId="0" applyNumberFormat="1" applyFont="1" applyBorder="1"/>
    <xf numFmtId="0" fontId="1" fillId="3" borderId="10" xfId="0" applyFont="1" applyFill="1" applyBorder="1" applyAlignment="1">
      <alignment horizontal="right"/>
    </xf>
    <xf numFmtId="0" fontId="6" fillId="15" borderId="10" xfId="0" applyFont="1" applyFill="1" applyBorder="1"/>
    <xf numFmtId="0" fontId="6" fillId="15" borderId="10" xfId="0" applyFont="1" applyFill="1" applyBorder="1" applyAlignment="1">
      <alignment horizontal="right"/>
    </xf>
    <xf numFmtId="3" fontId="1" fillId="0" borderId="0" xfId="0" applyNumberFormat="1" applyFont="1"/>
    <xf numFmtId="3" fontId="0" fillId="0" borderId="0" xfId="0" applyNumberFormat="1"/>
    <xf numFmtId="3" fontId="0" fillId="0" borderId="10" xfId="0" applyNumberFormat="1" applyBorder="1"/>
    <xf numFmtId="3" fontId="1" fillId="0" borderId="10" xfId="0" applyNumberFormat="1" applyFont="1" applyBorder="1"/>
    <xf numFmtId="4" fontId="0" fillId="0" borderId="0" xfId="0" applyNumberFormat="1"/>
    <xf numFmtId="4" fontId="0" fillId="0" borderId="10" xfId="0" applyNumberFormat="1" applyBorder="1"/>
    <xf numFmtId="4" fontId="1" fillId="0" borderId="0" xfId="0" applyNumberFormat="1" applyFont="1"/>
    <xf numFmtId="172" fontId="24" fillId="0" borderId="10" xfId="0" applyNumberFormat="1" applyFont="1" applyBorder="1"/>
    <xf numFmtId="0" fontId="25" fillId="7" borderId="0" xfId="0" applyFont="1" applyFill="1"/>
    <xf numFmtId="0" fontId="26" fillId="0" borderId="0" xfId="0" applyFont="1"/>
    <xf numFmtId="0" fontId="27" fillId="0" borderId="0" xfId="0" applyFont="1"/>
    <xf numFmtId="0" fontId="27" fillId="0" borderId="0" xfId="0" applyFont="1" applyAlignment="1">
      <alignment horizontal="right"/>
    </xf>
    <xf numFmtId="2" fontId="24" fillId="0" borderId="0" xfId="0" applyNumberFormat="1" applyFont="1" applyAlignment="1">
      <alignment horizontal="right"/>
    </xf>
    <xf numFmtId="0" fontId="27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right"/>
    </xf>
    <xf numFmtId="0" fontId="26" fillId="0" borderId="10" xfId="0" applyFont="1" applyBorder="1" applyAlignment="1">
      <alignment horizontal="center"/>
    </xf>
    <xf numFmtId="0" fontId="0" fillId="16" borderId="0" xfId="0" applyFill="1"/>
    <xf numFmtId="10" fontId="0" fillId="0" borderId="9" xfId="0" applyNumberFormat="1" applyBorder="1" applyAlignment="1">
      <alignment horizontal="right"/>
    </xf>
    <xf numFmtId="10" fontId="1" fillId="0" borderId="9" xfId="0" applyNumberFormat="1" applyFont="1" applyBorder="1" applyAlignment="1">
      <alignment horizontal="right"/>
    </xf>
    <xf numFmtId="0" fontId="6" fillId="0" borderId="0" xfId="0" applyFont="1"/>
    <xf numFmtId="10" fontId="0" fillId="17" borderId="0" xfId="0" applyNumberFormat="1" applyFill="1" applyAlignment="1">
      <alignment horizontal="right"/>
    </xf>
    <xf numFmtId="0" fontId="29" fillId="2" borderId="0" xfId="0" applyFont="1" applyFill="1"/>
    <xf numFmtId="0" fontId="25" fillId="2" borderId="0" xfId="0" applyFont="1" applyFill="1"/>
    <xf numFmtId="0" fontId="30" fillId="2" borderId="0" xfId="0" applyFont="1" applyFill="1"/>
    <xf numFmtId="0" fontId="31" fillId="2" borderId="0" xfId="0" applyFont="1" applyFill="1"/>
    <xf numFmtId="0" fontId="0" fillId="2" borderId="0" xfId="0" applyFill="1"/>
    <xf numFmtId="0" fontId="28" fillId="0" borderId="0" xfId="0" applyFont="1"/>
    <xf numFmtId="0" fontId="28" fillId="3" borderId="12" xfId="0" applyFont="1" applyFill="1" applyBorder="1"/>
    <xf numFmtId="0" fontId="28" fillId="3" borderId="12" xfId="0" applyFont="1" applyFill="1" applyBorder="1" applyAlignment="1">
      <alignment horizontal="center"/>
    </xf>
    <xf numFmtId="0" fontId="32" fillId="0" borderId="0" xfId="0" applyFont="1"/>
    <xf numFmtId="0" fontId="28" fillId="4" borderId="0" xfId="0" applyFont="1" applyFill="1"/>
    <xf numFmtId="0" fontId="28" fillId="5" borderId="0" xfId="0" applyFont="1" applyFill="1"/>
    <xf numFmtId="165" fontId="0" fillId="0" borderId="0" xfId="0" applyNumberFormat="1"/>
    <xf numFmtId="164" fontId="0" fillId="0" borderId="0" xfId="0" applyNumberFormat="1"/>
    <xf numFmtId="166" fontId="0" fillId="6" borderId="0" xfId="0" applyNumberFormat="1" applyFill="1"/>
    <xf numFmtId="165" fontId="26" fillId="0" borderId="0" xfId="0" applyNumberFormat="1" applyFont="1"/>
    <xf numFmtId="165" fontId="27" fillId="4" borderId="2" xfId="0" applyNumberFormat="1" applyFont="1" applyFill="1" applyBorder="1"/>
    <xf numFmtId="165" fontId="27" fillId="0" borderId="6" xfId="0" applyNumberFormat="1" applyFont="1" applyBorder="1"/>
    <xf numFmtId="165" fontId="27" fillId="5" borderId="3" xfId="0" applyNumberFormat="1" applyFont="1" applyFill="1" applyBorder="1"/>
    <xf numFmtId="0" fontId="33" fillId="8" borderId="0" xfId="0" applyFont="1" applyFill="1"/>
    <xf numFmtId="0" fontId="0" fillId="8" borderId="0" xfId="0" applyFill="1"/>
    <xf numFmtId="0" fontId="34" fillId="0" borderId="0" xfId="0" applyFont="1"/>
    <xf numFmtId="10" fontId="26" fillId="8" borderId="0" xfId="0" applyNumberFormat="1" applyFont="1" applyFill="1" applyAlignment="1">
      <alignment horizontal="right"/>
    </xf>
    <xf numFmtId="2" fontId="26" fillId="8" borderId="0" xfId="0" applyNumberFormat="1" applyFont="1" applyFill="1" applyAlignment="1">
      <alignment horizontal="right"/>
    </xf>
    <xf numFmtId="168" fontId="26" fillId="8" borderId="0" xfId="0" applyNumberFormat="1" applyFont="1" applyFill="1" applyAlignment="1">
      <alignment horizontal="right"/>
    </xf>
    <xf numFmtId="2" fontId="26" fillId="0" borderId="0" xfId="0" applyNumberFormat="1" applyFont="1" applyAlignment="1">
      <alignment horizontal="right"/>
    </xf>
    <xf numFmtId="164" fontId="26" fillId="0" borderId="10" xfId="0" applyNumberFormat="1" applyFont="1" applyBorder="1"/>
    <xf numFmtId="168" fontId="26" fillId="0" borderId="0" xfId="0" applyNumberFormat="1" applyFont="1" applyAlignment="1">
      <alignment horizontal="right"/>
    </xf>
    <xf numFmtId="2" fontId="27" fillId="8" borderId="0" xfId="0" applyNumberFormat="1" applyFont="1" applyFill="1" applyAlignment="1">
      <alignment horizontal="right"/>
    </xf>
    <xf numFmtId="167" fontId="26" fillId="0" borderId="0" xfId="0" applyNumberFormat="1" applyFont="1" applyAlignment="1">
      <alignment horizontal="right"/>
    </xf>
    <xf numFmtId="167" fontId="26" fillId="8" borderId="0" xfId="0" applyNumberFormat="1" applyFont="1" applyFill="1" applyAlignment="1">
      <alignment horizontal="right"/>
    </xf>
    <xf numFmtId="2" fontId="27" fillId="0" borderId="0" xfId="0" applyNumberFormat="1" applyFont="1" applyAlignment="1">
      <alignment horizontal="right"/>
    </xf>
    <xf numFmtId="10" fontId="0" fillId="8" borderId="0" xfId="0" applyNumberFormat="1" applyFill="1" applyAlignment="1">
      <alignment horizontal="right"/>
    </xf>
    <xf numFmtId="168" fontId="26" fillId="8" borderId="0" xfId="0" applyNumberFormat="1" applyFont="1" applyFill="1"/>
    <xf numFmtId="10" fontId="26" fillId="0" borderId="0" xfId="0" applyNumberFormat="1" applyFont="1"/>
    <xf numFmtId="170" fontId="26" fillId="0" borderId="0" xfId="0" applyNumberFormat="1" applyFont="1"/>
    <xf numFmtId="171" fontId="26" fillId="0" borderId="0" xfId="0" applyNumberFormat="1" applyFont="1"/>
    <xf numFmtId="171" fontId="27" fillId="12" borderId="0" xfId="0" applyNumberFormat="1" applyFont="1" applyFill="1"/>
    <xf numFmtId="171" fontId="27" fillId="0" borderId="2" xfId="0" applyNumberFormat="1" applyFont="1" applyBorder="1"/>
    <xf numFmtId="168" fontId="26" fillId="0" borderId="0" xfId="0" applyNumberFormat="1" applyFont="1"/>
    <xf numFmtId="49" fontId="26" fillId="0" borderId="0" xfId="0" applyNumberFormat="1" applyFont="1"/>
    <xf numFmtId="171" fontId="27" fillId="0" borderId="6" xfId="0" applyNumberFormat="1" applyFont="1" applyBorder="1"/>
    <xf numFmtId="0" fontId="35" fillId="0" borderId="0" xfId="0" applyFont="1"/>
    <xf numFmtId="168" fontId="36" fillId="0" borderId="0" xfId="0" applyNumberFormat="1" applyFont="1" applyAlignment="1">
      <alignment horizontal="center"/>
    </xf>
    <xf numFmtId="0" fontId="37" fillId="0" borderId="0" xfId="0" applyFont="1"/>
    <xf numFmtId="169" fontId="36" fillId="0" borderId="0" xfId="0" applyNumberFormat="1" applyFont="1" applyAlignment="1">
      <alignment horizontal="center"/>
    </xf>
    <xf numFmtId="0" fontId="36" fillId="0" borderId="0" xfId="0" applyFont="1"/>
    <xf numFmtId="0" fontId="38" fillId="7" borderId="0" xfId="0" applyFont="1" applyFill="1"/>
    <xf numFmtId="0" fontId="15" fillId="7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9" fillId="0" borderId="0" xfId="0" applyFont="1"/>
    <xf numFmtId="0" fontId="40" fillId="0" borderId="0" xfId="0" applyFont="1" applyAlignment="1">
      <alignment horizontal="right"/>
    </xf>
    <xf numFmtId="168" fontId="40" fillId="0" borderId="0" xfId="0" applyNumberFormat="1" applyFont="1" applyAlignment="1">
      <alignment horizontal="right"/>
    </xf>
    <xf numFmtId="169" fontId="40" fillId="0" borderId="0" xfId="0" applyNumberFormat="1" applyFont="1" applyAlignment="1">
      <alignment horizontal="right"/>
    </xf>
    <xf numFmtId="167" fontId="40" fillId="0" borderId="0" xfId="0" applyNumberFormat="1" applyFont="1" applyAlignment="1">
      <alignment horizontal="right"/>
    </xf>
    <xf numFmtId="0" fontId="26" fillId="0" borderId="0" xfId="0" applyFont="1" applyAlignment="1">
      <alignment horizontal="center"/>
    </xf>
    <xf numFmtId="0" fontId="42" fillId="18" borderId="0" xfId="0" applyFont="1" applyFill="1"/>
    <xf numFmtId="0" fontId="41" fillId="18" borderId="0" xfId="0" applyFont="1" applyFill="1"/>
    <xf numFmtId="0" fontId="15" fillId="9" borderId="0" xfId="0" applyFont="1" applyFill="1"/>
    <xf numFmtId="0" fontId="6" fillId="19" borderId="0" xfId="0" applyFont="1" applyFill="1" applyAlignment="1">
      <alignment horizontal="right"/>
    </xf>
    <xf numFmtId="0" fontId="1" fillId="8" borderId="11" xfId="0" applyFont="1" applyFill="1" applyBorder="1" applyAlignment="1">
      <alignment horizontal="right"/>
    </xf>
    <xf numFmtId="172" fontId="0" fillId="0" borderId="10" xfId="0" applyNumberFormat="1" applyFont="1" applyBorder="1"/>
    <xf numFmtId="3" fontId="0" fillId="0" borderId="0" xfId="0" applyNumberFormat="1" applyFont="1"/>
    <xf numFmtId="0" fontId="0" fillId="0" borderId="0" xfId="0" applyFon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FOOTBALL FIELD 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Field'!$G$4</c:f>
              <c:strCache>
                <c:ptCount val="1"/>
                <c:pt idx="0">
                  <c:v>Base (low)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'Football Field'!$F$5:$F$10</c:f>
              <c:strCache>
                <c:ptCount val="6"/>
                <c:pt idx="0">
                  <c:v>DCF (WACC / APV / TCF / Equity)</c:v>
                </c:pt>
                <c:pt idx="1">
                  <c:v> EV/EBIT</c:v>
                </c:pt>
                <c:pt idx="2">
                  <c:v> EV/EBITDA</c:v>
                </c:pt>
                <c:pt idx="3">
                  <c:v> Price/Earnings</c:v>
                </c:pt>
                <c:pt idx="4">
                  <c:v> EV/Sales</c:v>
                </c:pt>
                <c:pt idx="5">
                  <c:v>Price/Book</c:v>
                </c:pt>
              </c:strCache>
            </c:strRef>
          </c:cat>
          <c:val>
            <c:numRef>
              <c:f>'Football Field'!$G$5:$G$10</c:f>
              <c:numCache>
                <c:formatCode>#,##0</c:formatCode>
                <c:ptCount val="6"/>
                <c:pt idx="0">
                  <c:v>24440.147532134179</c:v>
                </c:pt>
                <c:pt idx="1">
                  <c:v>24315.700000000004</c:v>
                </c:pt>
                <c:pt idx="2">
                  <c:v>23095.100000000006</c:v>
                </c:pt>
                <c:pt idx="3">
                  <c:v>22000.000000000007</c:v>
                </c:pt>
                <c:pt idx="4">
                  <c:v>17845.800000000003</c:v>
                </c:pt>
                <c:pt idx="5">
                  <c:v>11818.09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5-FD4C-A71C-A29A92AC3668}"/>
            </c:ext>
          </c:extLst>
        </c:ser>
        <c:ser>
          <c:idx val="1"/>
          <c:order val="1"/>
          <c:tx>
            <c:strRef>
              <c:f>'Football Field'!$H$4</c:f>
              <c:strCache>
                <c:ptCount val="1"/>
                <c:pt idx="0">
                  <c:v>Span (H-L)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'Football Field'!$F$5:$F$10</c:f>
              <c:strCache>
                <c:ptCount val="6"/>
                <c:pt idx="0">
                  <c:v>DCF (WACC / APV / TCF / Equity)</c:v>
                </c:pt>
                <c:pt idx="1">
                  <c:v> EV/EBIT</c:v>
                </c:pt>
                <c:pt idx="2">
                  <c:v> EV/EBITDA</c:v>
                </c:pt>
                <c:pt idx="3">
                  <c:v> Price/Earnings</c:v>
                </c:pt>
                <c:pt idx="4">
                  <c:v> EV/Sales</c:v>
                </c:pt>
                <c:pt idx="5">
                  <c:v>Price/Book</c:v>
                </c:pt>
              </c:strCache>
            </c:strRef>
          </c:cat>
          <c:val>
            <c:numRef>
              <c:f>'Football Field'!$H$5:$H$10</c:f>
              <c:numCache>
                <c:formatCode>#,##0</c:formatCode>
                <c:ptCount val="6"/>
                <c:pt idx="0">
                  <c:v>354.57494874094118</c:v>
                </c:pt>
                <c:pt idx="1">
                  <c:v>11736.800000000003</c:v>
                </c:pt>
                <c:pt idx="2">
                  <c:v>7947.5</c:v>
                </c:pt>
                <c:pt idx="3">
                  <c:v>6600.0000000000036</c:v>
                </c:pt>
                <c:pt idx="4">
                  <c:v>14574.599999999999</c:v>
                </c:pt>
                <c:pt idx="5">
                  <c:v>6165.9599999999991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5-FD4C-A71C-A29A92AC3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8321664"/>
        <c:axId val="228323376"/>
      </c:barChart>
      <c:catAx>
        <c:axId val="228321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228323376"/>
        <c:crosses val="autoZero"/>
        <c:auto val="1"/>
        <c:lblAlgn val="ctr"/>
        <c:lblOffset val="100"/>
        <c:noMultiLvlLbl val="0"/>
      </c:catAx>
      <c:valAx>
        <c:axId val="22832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Equity Value 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2283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11</xdr:col>
      <xdr:colOff>177800</xdr:colOff>
      <xdr:row>40</xdr:row>
      <xdr:rowOff>0</xdr:rowOff>
    </xdr:to>
    <xdr:graphicFrame macro="">
      <xdr:nvGraphicFramePr>
        <xdr:cNvPr id="2" name="FootballField">
          <a:extLst>
            <a:ext uri="{FF2B5EF4-FFF2-40B4-BE49-F238E27FC236}">
              <a16:creationId xmlns:a16="http://schemas.microsoft.com/office/drawing/2014/main" id="{7C9E455D-5E75-7D82-CF56-B0F78F568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FA1BE4-B99B-3C4A-A9EF-194E185AAC3C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8603cf02-5dff-403b-bb0b-93f18f9e3fe1&quot;"/>
  </we:properties>
  <we:bindings/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C622-1A59-CF41-856B-493AEBBD8E14}">
  <sheetPr>
    <tabColor rgb="FFFFC000"/>
  </sheetPr>
  <dimension ref="A1:V12"/>
  <sheetViews>
    <sheetView workbookViewId="0">
      <selection activeCell="C11" sqref="C11"/>
    </sheetView>
  </sheetViews>
  <sheetFormatPr baseColWidth="10" defaultRowHeight="16"/>
  <cols>
    <col min="1" max="1" width="34.1640625" customWidth="1"/>
    <col min="2" max="2" width="13.5" customWidth="1"/>
    <col min="7" max="7" width="23.1640625" customWidth="1"/>
  </cols>
  <sheetData>
    <row r="1" spans="1:22" ht="19">
      <c r="A1" s="120" t="s">
        <v>357</v>
      </c>
      <c r="B1" s="121"/>
      <c r="C1" s="121"/>
    </row>
    <row r="2" spans="1:22">
      <c r="A2" s="38"/>
    </row>
    <row r="3" spans="1:22">
      <c r="A3" s="39" t="s">
        <v>129</v>
      </c>
      <c r="B3" s="40">
        <v>2026</v>
      </c>
      <c r="C3" s="40">
        <v>2027</v>
      </c>
      <c r="D3" s="40">
        <v>2028</v>
      </c>
      <c r="E3" s="40">
        <v>2029</v>
      </c>
      <c r="F3" s="40">
        <v>2030</v>
      </c>
    </row>
    <row r="4" spans="1:22">
      <c r="A4" t="s">
        <v>130</v>
      </c>
      <c r="B4" s="144">
        <v>7.0000000000000007E-2</v>
      </c>
      <c r="C4" s="144">
        <v>6.5000000000000002E-2</v>
      </c>
      <c r="D4" s="144">
        <v>0.06</v>
      </c>
      <c r="E4" s="144">
        <v>5.5E-2</v>
      </c>
      <c r="F4" s="144">
        <v>0.05</v>
      </c>
      <c r="G4" s="145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</row>
    <row r="5" spans="1:22">
      <c r="A5" t="s">
        <v>131</v>
      </c>
      <c r="B5" s="144">
        <v>0.33500000000000002</v>
      </c>
      <c r="C5" s="144">
        <v>0.33</v>
      </c>
      <c r="D5" s="144">
        <v>0.32500000000000001</v>
      </c>
      <c r="E5" s="144">
        <v>0.32</v>
      </c>
      <c r="F5" s="144">
        <v>0.315</v>
      </c>
      <c r="G5" s="145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</row>
    <row r="6" spans="1:22">
      <c r="A6" t="s">
        <v>98</v>
      </c>
      <c r="B6" s="144">
        <v>4.8000000000000001E-2</v>
      </c>
      <c r="C6" s="144">
        <v>4.5999999999999999E-2</v>
      </c>
      <c r="D6" s="144">
        <v>4.3999999999999997E-2</v>
      </c>
      <c r="E6" s="144">
        <v>4.2999999999999997E-2</v>
      </c>
      <c r="F6" s="144">
        <v>4.2000000000000003E-2</v>
      </c>
      <c r="G6" s="145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</row>
    <row r="7" spans="1:22">
      <c r="A7" t="s">
        <v>132</v>
      </c>
      <c r="B7" s="144">
        <v>0.29499999999999998</v>
      </c>
      <c r="C7" s="144">
        <v>0.29499999999999998</v>
      </c>
      <c r="D7" s="144">
        <v>0.29499999999999998</v>
      </c>
      <c r="E7" s="144">
        <v>0.29499999999999998</v>
      </c>
      <c r="F7" s="144">
        <v>0.29499999999999998</v>
      </c>
      <c r="G7" s="145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</row>
    <row r="8" spans="1:22">
      <c r="A8" t="s">
        <v>133</v>
      </c>
      <c r="B8" s="146">
        <v>-0.06</v>
      </c>
      <c r="C8" s="146">
        <v>-4.4999999999999998E-2</v>
      </c>
      <c r="D8" s="146">
        <v>-0.03</v>
      </c>
      <c r="E8" s="146">
        <v>-1.4999999999999999E-2</v>
      </c>
      <c r="F8" s="146">
        <v>0</v>
      </c>
      <c r="G8" s="145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</row>
    <row r="9" spans="1:22">
      <c r="A9" t="s">
        <v>112</v>
      </c>
      <c r="B9" s="144">
        <v>0.03</v>
      </c>
      <c r="C9" s="144">
        <v>0.03</v>
      </c>
      <c r="D9" s="144">
        <v>2.9000000000000001E-2</v>
      </c>
      <c r="E9" s="144">
        <v>2.9000000000000001E-2</v>
      </c>
      <c r="F9" s="144">
        <v>2.8000000000000001E-2</v>
      </c>
      <c r="G9" s="145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</row>
    <row r="10" spans="1:22">
      <c r="B10" s="147"/>
      <c r="C10" s="147"/>
      <c r="D10" s="147"/>
      <c r="E10" s="147"/>
      <c r="F10" s="147"/>
      <c r="G10" s="147"/>
    </row>
    <row r="11" spans="1:22">
      <c r="A11" s="1"/>
      <c r="B11" s="147"/>
      <c r="C11" s="147"/>
      <c r="D11" s="147"/>
      <c r="E11" s="147"/>
      <c r="F11" s="147"/>
      <c r="G11" s="147"/>
    </row>
    <row r="12" spans="1:22">
      <c r="B12" s="147"/>
      <c r="C12" s="147"/>
      <c r="D12" s="147"/>
      <c r="E12" s="147"/>
      <c r="F12" s="147"/>
      <c r="G12" s="14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04F5-E7C7-F049-82A5-15E500F2BF20}">
  <sheetPr>
    <tabColor rgb="FFFFFF00"/>
  </sheetPr>
  <dimension ref="A1:D54"/>
  <sheetViews>
    <sheetView workbookViewId="0">
      <pane ySplit="6" topLeftCell="A41" activePane="bottomLeft" state="frozen"/>
      <selection pane="bottomLeft" activeCell="F55" sqref="F55"/>
    </sheetView>
  </sheetViews>
  <sheetFormatPr baseColWidth="10" defaultRowHeight="16"/>
  <cols>
    <col min="1" max="1" width="50" customWidth="1"/>
    <col min="2" max="4" width="16.6640625" customWidth="1"/>
  </cols>
  <sheetData>
    <row r="1" spans="1:4" ht="19">
      <c r="A1" s="4" t="s">
        <v>117</v>
      </c>
      <c r="B1" s="5"/>
      <c r="C1" s="5"/>
      <c r="D1" s="5"/>
    </row>
    <row r="2" spans="1:4">
      <c r="A2" s="6" t="s">
        <v>119</v>
      </c>
      <c r="B2" s="5"/>
      <c r="C2" s="5"/>
      <c r="D2" s="5"/>
    </row>
    <row r="3" spans="1:4">
      <c r="A3" s="7" t="s">
        <v>0</v>
      </c>
      <c r="B3" s="5"/>
      <c r="C3" s="5"/>
      <c r="D3" s="5"/>
    </row>
    <row r="4" spans="1:4">
      <c r="A4" s="8" t="s">
        <v>1</v>
      </c>
      <c r="B4" s="5"/>
      <c r="C4" s="5"/>
      <c r="D4" s="5"/>
    </row>
    <row r="6" spans="1:4" ht="17" thickBot="1">
      <c r="A6" s="9" t="s">
        <v>87</v>
      </c>
      <c r="B6" s="10" t="s">
        <v>2</v>
      </c>
      <c r="C6" s="10" t="s">
        <v>3</v>
      </c>
      <c r="D6" s="10" t="s">
        <v>4</v>
      </c>
    </row>
    <row r="8" spans="1:4">
      <c r="A8" s="1" t="s">
        <v>5</v>
      </c>
    </row>
    <row r="9" spans="1:4">
      <c r="A9" t="s">
        <v>6</v>
      </c>
      <c r="B9" s="2">
        <v>1445.1</v>
      </c>
      <c r="C9" s="2">
        <v>1670</v>
      </c>
      <c r="D9" s="2">
        <v>1834.8</v>
      </c>
    </row>
    <row r="10" spans="1:4">
      <c r="A10" s="1" t="s">
        <v>7</v>
      </c>
      <c r="B10" s="2">
        <v>539.20000000000005</v>
      </c>
      <c r="C10" s="2">
        <v>576.6</v>
      </c>
      <c r="D10" s="2">
        <v>635.5</v>
      </c>
    </row>
    <row r="11" spans="1:4">
      <c r="A11" t="s">
        <v>8</v>
      </c>
      <c r="B11" s="2">
        <v>1789.2</v>
      </c>
      <c r="C11" s="2">
        <v>1847.9</v>
      </c>
      <c r="D11" s="2">
        <v>2243.9</v>
      </c>
    </row>
    <row r="12" spans="1:4">
      <c r="A12" s="11" t="s">
        <v>9</v>
      </c>
      <c r="B12" s="12">
        <f>SUM(B9:B11)</f>
        <v>3773.5</v>
      </c>
      <c r="C12" s="12">
        <f>SUM(C9:C11)</f>
        <v>4094.5</v>
      </c>
      <c r="D12" s="12">
        <f>SUM(D9:D11)</f>
        <v>4714.2000000000007</v>
      </c>
    </row>
    <row r="14" spans="1:4">
      <c r="A14" s="1" t="s">
        <v>10</v>
      </c>
    </row>
    <row r="15" spans="1:4">
      <c r="A15" t="s">
        <v>11</v>
      </c>
      <c r="B15" s="2">
        <v>1385.8</v>
      </c>
      <c r="C15" s="2">
        <v>1329.1</v>
      </c>
      <c r="D15" s="2">
        <v>1709.7</v>
      </c>
    </row>
    <row r="16" spans="1:4">
      <c r="A16" s="1" t="s">
        <v>12</v>
      </c>
      <c r="B16" s="2">
        <v>79.099999999999994</v>
      </c>
      <c r="C16" s="2">
        <v>68.3</v>
      </c>
      <c r="D16" s="2">
        <v>80.400000000000006</v>
      </c>
    </row>
    <row r="17" spans="1:4">
      <c r="A17" t="s">
        <v>13</v>
      </c>
      <c r="B17" s="2">
        <v>185.7</v>
      </c>
      <c r="C17" s="2">
        <v>391.4</v>
      </c>
      <c r="D17" s="2">
        <v>238.7</v>
      </c>
    </row>
    <row r="18" spans="1:4">
      <c r="A18" s="1" t="s">
        <v>14</v>
      </c>
      <c r="B18" s="2">
        <v>204.9</v>
      </c>
      <c r="C18" s="2">
        <v>233.3</v>
      </c>
      <c r="D18" s="2">
        <v>256.3</v>
      </c>
    </row>
    <row r="19" spans="1:4">
      <c r="A19" s="11" t="s">
        <v>15</v>
      </c>
      <c r="B19" s="12">
        <f>SUM(B15:B18)</f>
        <v>1855.5</v>
      </c>
      <c r="C19" s="12">
        <f>SUM(C15:C18)</f>
        <v>2022.0999999999997</v>
      </c>
      <c r="D19" s="12">
        <f>SUM(D15:D18)</f>
        <v>2285.1000000000004</v>
      </c>
    </row>
    <row r="21" spans="1:4">
      <c r="A21" s="13" t="s">
        <v>16</v>
      </c>
      <c r="B21" s="14">
        <f>B12-B19</f>
        <v>1918</v>
      </c>
      <c r="C21" s="14">
        <f>C12-C19</f>
        <v>2072.4000000000005</v>
      </c>
      <c r="D21" s="14">
        <f>D12-D19</f>
        <v>2429.1000000000004</v>
      </c>
    </row>
    <row r="23" spans="1:4">
      <c r="A23" s="1" t="s">
        <v>17</v>
      </c>
    </row>
    <row r="24" spans="1:4">
      <c r="A24" t="s">
        <v>18</v>
      </c>
      <c r="B24" s="2">
        <v>425.8</v>
      </c>
      <c r="C24" s="2">
        <v>462.4</v>
      </c>
      <c r="D24" s="2">
        <v>500.8</v>
      </c>
    </row>
    <row r="25" spans="1:4">
      <c r="A25" s="1" t="s">
        <v>19</v>
      </c>
      <c r="B25" s="2">
        <v>158</v>
      </c>
      <c r="C25" s="2">
        <v>133</v>
      </c>
      <c r="D25" s="2">
        <v>122.4</v>
      </c>
    </row>
    <row r="26" spans="1:4">
      <c r="A26" t="s">
        <v>20</v>
      </c>
      <c r="B26" s="2">
        <v>99.7</v>
      </c>
      <c r="C26" s="2">
        <v>102.8</v>
      </c>
      <c r="D26" s="2">
        <v>107.6</v>
      </c>
    </row>
    <row r="27" spans="1:4">
      <c r="A27" s="1" t="s">
        <v>21</v>
      </c>
      <c r="B27" s="2">
        <v>92</v>
      </c>
      <c r="C27" s="2">
        <v>94.8</v>
      </c>
      <c r="D27" s="2">
        <v>91.5</v>
      </c>
    </row>
    <row r="28" spans="1:4">
      <c r="A28" t="s">
        <v>22</v>
      </c>
      <c r="B28" s="2">
        <v>37.6</v>
      </c>
      <c r="C28" s="2">
        <v>45.8</v>
      </c>
      <c r="D28" s="2">
        <v>42.1</v>
      </c>
    </row>
    <row r="29" spans="1:4">
      <c r="A29" s="1" t="s">
        <v>23</v>
      </c>
      <c r="B29" s="2">
        <v>25.7</v>
      </c>
      <c r="C29" s="2">
        <v>24.6</v>
      </c>
      <c r="D29" s="2">
        <v>26.2</v>
      </c>
    </row>
    <row r="30" spans="1:4">
      <c r="A30" t="s">
        <v>24</v>
      </c>
      <c r="B30" s="2">
        <v>7.4</v>
      </c>
      <c r="C30" s="2">
        <v>1.3</v>
      </c>
      <c r="D30" s="2">
        <v>0.3</v>
      </c>
    </row>
    <row r="31" spans="1:4">
      <c r="A31" s="1" t="s">
        <v>25</v>
      </c>
      <c r="B31" s="3">
        <v>0</v>
      </c>
      <c r="C31" s="2">
        <v>81</v>
      </c>
      <c r="D31" s="2">
        <v>46.7</v>
      </c>
    </row>
    <row r="32" spans="1:4">
      <c r="A32" t="s">
        <v>26</v>
      </c>
      <c r="B32" s="2">
        <v>13.9</v>
      </c>
      <c r="C32" s="2">
        <v>28.3</v>
      </c>
      <c r="D32" s="2">
        <v>24.4</v>
      </c>
    </row>
    <row r="33" spans="1:4">
      <c r="A33" s="11" t="s">
        <v>27</v>
      </c>
      <c r="B33" s="12">
        <f>SUM(B24:B32)</f>
        <v>860.1</v>
      </c>
      <c r="C33" s="12">
        <f>SUM(C24:C32)</f>
        <v>973.99999999999977</v>
      </c>
      <c r="D33" s="12">
        <f>SUM(D24:D32)</f>
        <v>962.00000000000011</v>
      </c>
    </row>
    <row r="35" spans="1:4">
      <c r="A35" s="13" t="s">
        <v>28</v>
      </c>
      <c r="B35" s="14">
        <f>B21-B33</f>
        <v>1057.9000000000001</v>
      </c>
      <c r="C35" s="14">
        <f>C21-C33</f>
        <v>1098.4000000000008</v>
      </c>
      <c r="D35" s="14">
        <f>D21-D33</f>
        <v>1467.1000000000004</v>
      </c>
    </row>
    <row r="37" spans="1:4">
      <c r="A37" s="1" t="s">
        <v>29</v>
      </c>
    </row>
    <row r="38" spans="1:4">
      <c r="A38" t="s">
        <v>30</v>
      </c>
      <c r="B38" s="113">
        <v>-62.4</v>
      </c>
      <c r="C38" s="113">
        <v>-51.5</v>
      </c>
      <c r="D38" s="113">
        <v>-52.3</v>
      </c>
    </row>
    <row r="39" spans="1:4">
      <c r="A39" s="1" t="s">
        <v>31</v>
      </c>
      <c r="B39" s="114">
        <v>12</v>
      </c>
      <c r="C39" s="114">
        <v>27.3</v>
      </c>
      <c r="D39" s="114">
        <v>49.4</v>
      </c>
    </row>
    <row r="40" spans="1:4">
      <c r="A40" t="s">
        <v>32</v>
      </c>
      <c r="B40" s="114">
        <v>39.5</v>
      </c>
      <c r="C40" s="114">
        <v>29</v>
      </c>
      <c r="D40" s="114">
        <v>92.8</v>
      </c>
    </row>
    <row r="41" spans="1:4">
      <c r="A41" s="1" t="s">
        <v>33</v>
      </c>
      <c r="B41" s="113">
        <v>0.6</v>
      </c>
      <c r="C41" s="113">
        <v>-19.399999999999999</v>
      </c>
      <c r="D41" s="113">
        <v>9.6</v>
      </c>
    </row>
    <row r="43" spans="1:4">
      <c r="A43" s="11" t="s">
        <v>34</v>
      </c>
      <c r="B43" s="12">
        <f>B35+SUM(B38:B41)</f>
        <v>1047.6000000000001</v>
      </c>
      <c r="C43" s="12">
        <f>C35+SUM(C38:C41)</f>
        <v>1083.8000000000009</v>
      </c>
      <c r="D43" s="12">
        <f>D35+SUM(D38:D41)</f>
        <v>1566.6000000000004</v>
      </c>
    </row>
    <row r="44" spans="1:4">
      <c r="A44" t="s">
        <v>35</v>
      </c>
      <c r="B44" s="114">
        <v>286.2</v>
      </c>
      <c r="C44" s="114">
        <v>318.89999999999998</v>
      </c>
      <c r="D44" s="114">
        <v>466.6</v>
      </c>
    </row>
    <row r="46" spans="1:4">
      <c r="A46" s="13" t="s">
        <v>36</v>
      </c>
      <c r="B46" s="14">
        <f>B43-B44</f>
        <v>761.40000000000009</v>
      </c>
      <c r="C46" s="14">
        <f>C43-C44</f>
        <v>764.90000000000089</v>
      </c>
      <c r="D46" s="14">
        <f>D43-D44</f>
        <v>1100.0000000000005</v>
      </c>
    </row>
    <row r="47" spans="1:4">
      <c r="A47" t="s">
        <v>37</v>
      </c>
      <c r="B47" s="113">
        <v>-3.9</v>
      </c>
      <c r="C47" s="113">
        <v>-3.9</v>
      </c>
      <c r="D47" s="113">
        <v>-5.2</v>
      </c>
    </row>
    <row r="48" spans="1:4" ht="17" thickBot="1">
      <c r="A48" s="15" t="s">
        <v>38</v>
      </c>
      <c r="B48" s="16">
        <f>B46+B47</f>
        <v>757.50000000000011</v>
      </c>
      <c r="C48" s="16">
        <f>C46+C47</f>
        <v>761.00000000000091</v>
      </c>
      <c r="D48" s="16">
        <f>D46+D47</f>
        <v>1094.8000000000004</v>
      </c>
    </row>
    <row r="49" spans="1:4" ht="17" thickTop="1"/>
    <row r="50" spans="1:4">
      <c r="A50" s="17" t="s">
        <v>39</v>
      </c>
      <c r="B50" s="115">
        <v>7.16</v>
      </c>
      <c r="C50" s="115">
        <v>7.24</v>
      </c>
      <c r="D50" s="115">
        <v>10.46</v>
      </c>
    </row>
    <row r="51" spans="1:4">
      <c r="A51" s="17" t="s">
        <v>40</v>
      </c>
      <c r="B51" s="115">
        <v>7.13</v>
      </c>
      <c r="C51" s="115">
        <v>7.21</v>
      </c>
      <c r="D51" s="115">
        <v>10.42</v>
      </c>
    </row>
    <row r="53" spans="1:4">
      <c r="A53" s="1" t="s">
        <v>41</v>
      </c>
      <c r="B53" s="114">
        <v>105.8</v>
      </c>
      <c r="C53" s="114">
        <v>105.1</v>
      </c>
      <c r="D53" s="114">
        <v>104.7</v>
      </c>
    </row>
    <row r="54" spans="1:4">
      <c r="A54" s="1" t="s">
        <v>42</v>
      </c>
      <c r="B54" s="114">
        <v>106.2</v>
      </c>
      <c r="C54" s="114">
        <v>105.5</v>
      </c>
      <c r="D54" s="114">
        <v>105.1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E91CE-9200-5F4E-9C23-AA858BF3A7A9}">
  <sheetPr>
    <tabColor rgb="FFFFFF00"/>
  </sheetPr>
  <dimension ref="A1:D56"/>
  <sheetViews>
    <sheetView workbookViewId="0">
      <pane ySplit="6" topLeftCell="A36" activePane="bottomLeft" state="frozen"/>
      <selection pane="bottomLeft" activeCell="B57" sqref="B57"/>
    </sheetView>
  </sheetViews>
  <sheetFormatPr baseColWidth="10" defaultRowHeight="16"/>
  <cols>
    <col min="1" max="1" width="50" customWidth="1"/>
    <col min="2" max="4" width="16.6640625" customWidth="1"/>
  </cols>
  <sheetData>
    <row r="1" spans="1:4" ht="19">
      <c r="A1" s="4" t="s">
        <v>117</v>
      </c>
      <c r="B1" s="5"/>
      <c r="C1" s="5"/>
      <c r="D1" s="5"/>
    </row>
    <row r="2" spans="1:4">
      <c r="A2" s="6" t="s">
        <v>118</v>
      </c>
      <c r="B2" s="5"/>
      <c r="C2" s="5"/>
      <c r="D2" s="5"/>
    </row>
    <row r="3" spans="1:4">
      <c r="A3" s="7" t="s">
        <v>43</v>
      </c>
      <c r="B3" s="5"/>
      <c r="C3" s="5"/>
      <c r="D3" s="5"/>
    </row>
    <row r="4" spans="1:4">
      <c r="A4" s="8" t="s">
        <v>44</v>
      </c>
      <c r="B4" s="5"/>
      <c r="C4" s="5"/>
      <c r="D4" s="5"/>
    </row>
    <row r="6" spans="1:4" ht="17" thickBot="1">
      <c r="A6" s="9" t="s">
        <v>45</v>
      </c>
      <c r="B6" s="10" t="s">
        <v>2</v>
      </c>
      <c r="C6" s="10" t="s">
        <v>3</v>
      </c>
      <c r="D6" s="10" t="s">
        <v>4</v>
      </c>
    </row>
    <row r="8" spans="1:4">
      <c r="A8" s="18" t="s">
        <v>46</v>
      </c>
      <c r="B8" s="19"/>
      <c r="C8" s="19"/>
      <c r="D8" s="19"/>
    </row>
    <row r="9" spans="1:4">
      <c r="A9" s="1" t="s">
        <v>47</v>
      </c>
    </row>
    <row r="10" spans="1:4">
      <c r="A10" t="s">
        <v>48</v>
      </c>
      <c r="B10" s="2">
        <v>543.20000000000005</v>
      </c>
      <c r="C10" s="2">
        <v>920.3</v>
      </c>
      <c r="D10" s="2">
        <v>2216.5</v>
      </c>
    </row>
    <row r="11" spans="1:4">
      <c r="A11" t="s">
        <v>49</v>
      </c>
      <c r="B11" s="2">
        <v>57.5</v>
      </c>
      <c r="C11" s="2">
        <v>110.3</v>
      </c>
      <c r="D11" s="2">
        <v>36.1</v>
      </c>
    </row>
    <row r="12" spans="1:4">
      <c r="A12" t="s">
        <v>50</v>
      </c>
      <c r="B12" s="2">
        <v>337.3</v>
      </c>
      <c r="C12" s="2">
        <v>444.6</v>
      </c>
      <c r="D12" s="2">
        <v>391.4</v>
      </c>
    </row>
    <row r="13" spans="1:4">
      <c r="A13" t="s">
        <v>51</v>
      </c>
      <c r="B13" s="2">
        <v>848.8</v>
      </c>
      <c r="C13" s="2">
        <v>845.5</v>
      </c>
      <c r="D13" s="2">
        <v>1618.2</v>
      </c>
    </row>
    <row r="14" spans="1:4">
      <c r="A14" t="s">
        <v>52</v>
      </c>
      <c r="B14" s="3">
        <v>51.3</v>
      </c>
      <c r="C14" s="3">
        <v>0</v>
      </c>
      <c r="D14" s="3">
        <v>0</v>
      </c>
    </row>
    <row r="15" spans="1:4">
      <c r="A15" t="s">
        <v>53</v>
      </c>
      <c r="B15" s="2">
        <v>74.5</v>
      </c>
      <c r="C15" s="2">
        <v>73.8</v>
      </c>
      <c r="D15" s="2">
        <v>67.900000000000006</v>
      </c>
    </row>
    <row r="16" spans="1:4">
      <c r="A16" t="s">
        <v>54</v>
      </c>
      <c r="B16" s="2">
        <v>66.7</v>
      </c>
      <c r="C16" s="2">
        <v>84.6</v>
      </c>
      <c r="D16" s="2">
        <v>91.3</v>
      </c>
    </row>
    <row r="17" spans="1:4">
      <c r="A17" s="11" t="s">
        <v>55</v>
      </c>
      <c r="B17" s="12">
        <f>SUM(B10:B16)</f>
        <v>1979.3</v>
      </c>
      <c r="C17" s="12">
        <f>SUM(C10:C16)</f>
        <v>2479.1</v>
      </c>
      <c r="D17" s="12">
        <f>SUM(D10:D16)</f>
        <v>4421.3999999999996</v>
      </c>
    </row>
    <row r="19" spans="1:4">
      <c r="A19" t="s">
        <v>56</v>
      </c>
      <c r="B19" s="2">
        <v>345.3</v>
      </c>
      <c r="C19" s="2">
        <v>383.7</v>
      </c>
      <c r="D19" s="2">
        <v>32.4</v>
      </c>
    </row>
    <row r="20" spans="1:4">
      <c r="A20" t="s">
        <v>57</v>
      </c>
      <c r="B20" s="2">
        <v>109.2</v>
      </c>
      <c r="C20" s="2">
        <v>118</v>
      </c>
      <c r="D20" s="2">
        <v>133.1</v>
      </c>
    </row>
    <row r="21" spans="1:4">
      <c r="A21" t="s">
        <v>58</v>
      </c>
      <c r="B21" s="3">
        <v>8.6999999999999993</v>
      </c>
      <c r="C21" s="3">
        <v>0</v>
      </c>
      <c r="D21" s="3">
        <v>0</v>
      </c>
    </row>
    <row r="22" spans="1:4">
      <c r="A22" t="s">
        <v>59</v>
      </c>
      <c r="B22" s="2">
        <v>136.6</v>
      </c>
      <c r="C22" s="2">
        <v>124.5</v>
      </c>
      <c r="D22" s="2">
        <v>111</v>
      </c>
    </row>
    <row r="23" spans="1:4">
      <c r="A23" t="s">
        <v>60</v>
      </c>
      <c r="B23" s="2">
        <v>3140.6</v>
      </c>
      <c r="C23" s="2">
        <v>3124.2</v>
      </c>
      <c r="D23" s="2">
        <v>3150.5</v>
      </c>
    </row>
    <row r="24" spans="1:4">
      <c r="A24" t="s">
        <v>61</v>
      </c>
      <c r="B24" s="2">
        <v>1561.5</v>
      </c>
      <c r="C24" s="2">
        <v>1376.9</v>
      </c>
      <c r="D24" s="2">
        <v>1297.2</v>
      </c>
    </row>
    <row r="25" spans="1:4">
      <c r="A25" t="s">
        <v>62</v>
      </c>
      <c r="B25" s="2">
        <v>206.3</v>
      </c>
      <c r="C25" s="2">
        <v>182.7</v>
      </c>
      <c r="D25" s="2">
        <v>159.69999999999999</v>
      </c>
    </row>
    <row r="26" spans="1:4">
      <c r="A26" s="20" t="s">
        <v>63</v>
      </c>
      <c r="B26" s="21">
        <f>B17+SUM(B19:B25)</f>
        <v>7487.5</v>
      </c>
      <c r="C26" s="21">
        <f>C17+SUM(C19:C25)</f>
        <v>7789.0999999999985</v>
      </c>
      <c r="D26" s="21">
        <f>D17+SUM(D19:D25)</f>
        <v>9305.2999999999993</v>
      </c>
    </row>
    <row r="28" spans="1:4">
      <c r="A28" s="18" t="s">
        <v>64</v>
      </c>
      <c r="B28" s="19"/>
      <c r="C28" s="19"/>
      <c r="D28" s="19"/>
    </row>
    <row r="29" spans="1:4">
      <c r="A29" s="1" t="s">
        <v>65</v>
      </c>
    </row>
    <row r="30" spans="1:4">
      <c r="A30" t="s">
        <v>66</v>
      </c>
      <c r="B30" s="2">
        <v>412.7</v>
      </c>
      <c r="C30" s="2">
        <v>359.7</v>
      </c>
      <c r="D30" s="2">
        <v>686.9</v>
      </c>
    </row>
    <row r="31" spans="1:4">
      <c r="A31" t="s">
        <v>67</v>
      </c>
      <c r="B31" s="2">
        <v>51.9</v>
      </c>
      <c r="C31" s="2">
        <v>182</v>
      </c>
      <c r="D31" s="2">
        <v>0.2</v>
      </c>
    </row>
    <row r="32" spans="1:4">
      <c r="A32" t="s">
        <v>68</v>
      </c>
      <c r="B32" s="2">
        <v>5.9</v>
      </c>
      <c r="C32" s="2">
        <v>6.4</v>
      </c>
      <c r="D32" s="2">
        <v>6.9</v>
      </c>
    </row>
    <row r="33" spans="1:4">
      <c r="A33" t="s">
        <v>51</v>
      </c>
      <c r="B33" s="2">
        <v>848.8</v>
      </c>
      <c r="C33" s="2">
        <v>845.5</v>
      </c>
      <c r="D33" s="2">
        <v>1618.2</v>
      </c>
    </row>
    <row r="34" spans="1:4">
      <c r="A34" t="s">
        <v>69</v>
      </c>
      <c r="B34" s="3">
        <v>51.3</v>
      </c>
      <c r="C34" s="3">
        <v>0</v>
      </c>
      <c r="D34" s="3">
        <v>0</v>
      </c>
    </row>
    <row r="35" spans="1:4">
      <c r="A35" t="s">
        <v>70</v>
      </c>
      <c r="B35" s="2">
        <v>1</v>
      </c>
      <c r="C35" s="2">
        <v>1.6</v>
      </c>
      <c r="D35" s="2">
        <v>50.1</v>
      </c>
    </row>
    <row r="36" spans="1:4">
      <c r="A36" t="s">
        <v>71</v>
      </c>
      <c r="B36" s="3">
        <v>11.8</v>
      </c>
      <c r="C36" s="3">
        <v>0</v>
      </c>
      <c r="D36" s="3">
        <v>0</v>
      </c>
    </row>
    <row r="37" spans="1:4">
      <c r="A37" s="11" t="s">
        <v>72</v>
      </c>
      <c r="B37" s="12">
        <f>SUM(B30:B36)</f>
        <v>1383.3999999999999</v>
      </c>
      <c r="C37" s="12">
        <f>SUM(C30:C36)</f>
        <v>1395.1999999999998</v>
      </c>
      <c r="D37" s="12">
        <f>SUM(D30:D36)</f>
        <v>2362.2999999999997</v>
      </c>
    </row>
    <row r="39" spans="1:4">
      <c r="A39" t="s">
        <v>73</v>
      </c>
      <c r="B39" s="2">
        <v>1439.2</v>
      </c>
      <c r="C39" s="2">
        <v>1441</v>
      </c>
      <c r="D39" s="2">
        <v>1442.9</v>
      </c>
    </row>
    <row r="40" spans="1:4">
      <c r="A40" t="s">
        <v>74</v>
      </c>
      <c r="B40" s="2">
        <v>243.8</v>
      </c>
      <c r="C40" s="2">
        <v>305</v>
      </c>
      <c r="D40" s="2">
        <v>15.8</v>
      </c>
    </row>
    <row r="41" spans="1:4">
      <c r="A41" t="s">
        <v>75</v>
      </c>
      <c r="B41" s="2">
        <v>217.8</v>
      </c>
      <c r="C41" s="2">
        <v>186.8</v>
      </c>
      <c r="D41" s="2">
        <v>185.3</v>
      </c>
    </row>
    <row r="42" spans="1:4">
      <c r="A42" t="s">
        <v>76</v>
      </c>
      <c r="B42" s="2">
        <v>150.80000000000001</v>
      </c>
      <c r="C42" s="2">
        <v>138.4</v>
      </c>
      <c r="D42" s="2">
        <v>120.9</v>
      </c>
    </row>
    <row r="43" spans="1:4">
      <c r="A43" t="s">
        <v>77</v>
      </c>
      <c r="B43" s="2">
        <v>67.5</v>
      </c>
      <c r="C43" s="2">
        <v>43.1</v>
      </c>
      <c r="D43" s="2">
        <v>39.799999999999997</v>
      </c>
    </row>
    <row r="44" spans="1:4">
      <c r="A44" s="13" t="s">
        <v>78</v>
      </c>
      <c r="B44" s="14">
        <f>B37+SUM(B39:B43)</f>
        <v>3502.5</v>
      </c>
      <c r="C44" s="14">
        <f>C37+SUM(C39:C43)</f>
        <v>3509.4999999999995</v>
      </c>
      <c r="D44" s="14">
        <f>D37+SUM(D39:D43)</f>
        <v>4167</v>
      </c>
    </row>
    <row r="46" spans="1:4">
      <c r="A46" s="1" t="s">
        <v>79</v>
      </c>
    </row>
    <row r="47" spans="1:4">
      <c r="A47" t="s">
        <v>80</v>
      </c>
      <c r="B47" s="2">
        <v>1.1000000000000001</v>
      </c>
      <c r="C47" s="2">
        <v>1</v>
      </c>
      <c r="D47" s="2">
        <v>1</v>
      </c>
    </row>
    <row r="48" spans="1:4">
      <c r="A48" s="1" t="s">
        <v>81</v>
      </c>
      <c r="B48" s="3">
        <v>-10.5</v>
      </c>
      <c r="C48" s="3">
        <v>-1.4</v>
      </c>
      <c r="D48" s="3">
        <v>-1.5</v>
      </c>
    </row>
    <row r="49" spans="1:4">
      <c r="A49" t="s">
        <v>82</v>
      </c>
      <c r="B49" s="2">
        <v>1478.6</v>
      </c>
      <c r="C49" s="2">
        <v>1512.5</v>
      </c>
      <c r="D49" s="2">
        <v>1565.1</v>
      </c>
    </row>
    <row r="50" spans="1:4">
      <c r="A50" s="1" t="s">
        <v>83</v>
      </c>
      <c r="B50" s="2">
        <v>2525.1999999999998</v>
      </c>
      <c r="C50" s="2">
        <v>2815.9</v>
      </c>
      <c r="D50" s="2">
        <v>3543.6</v>
      </c>
    </row>
    <row r="51" spans="1:4">
      <c r="A51" t="s">
        <v>84</v>
      </c>
      <c r="B51" s="3">
        <v>-9.4</v>
      </c>
      <c r="C51" s="3">
        <v>-48.4</v>
      </c>
      <c r="D51" s="3">
        <v>30.1</v>
      </c>
    </row>
    <row r="52" spans="1:4">
      <c r="A52" s="13" t="s">
        <v>85</v>
      </c>
      <c r="B52" s="14">
        <f>SUM(B47:B51)</f>
        <v>3984.9999999999995</v>
      </c>
      <c r="C52" s="14">
        <f>SUM(C47:C51)</f>
        <v>4279.6000000000004</v>
      </c>
      <c r="D52" s="14">
        <f>SUM(D47:D51)</f>
        <v>5138.3</v>
      </c>
    </row>
    <row r="54" spans="1:4" ht="17" thickBot="1">
      <c r="A54" s="20" t="s">
        <v>86</v>
      </c>
      <c r="B54" s="16">
        <f>B44+B52</f>
        <v>7487.5</v>
      </c>
      <c r="C54" s="16">
        <f>C44+C52</f>
        <v>7789.1</v>
      </c>
      <c r="D54" s="16">
        <f>D44+D52</f>
        <v>9305.2999999999993</v>
      </c>
    </row>
    <row r="55" spans="1:4" ht="17" thickTop="1"/>
    <row r="56" spans="1:4">
      <c r="A56" s="22"/>
      <c r="B56" s="23"/>
      <c r="C56" s="23"/>
      <c r="D56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4F1F-5680-3648-8A6E-DCCCF9112EBF}">
  <sheetPr>
    <tabColor rgb="FFFFFF00"/>
  </sheetPr>
  <dimension ref="A1:D61"/>
  <sheetViews>
    <sheetView workbookViewId="0">
      <pane ySplit="6" topLeftCell="A30" activePane="bottomLeft" state="frozen"/>
      <selection pane="bottomLeft" activeCell="G63" sqref="G63"/>
    </sheetView>
  </sheetViews>
  <sheetFormatPr baseColWidth="10" defaultRowHeight="16"/>
  <cols>
    <col min="1" max="1" width="65.83203125" customWidth="1"/>
    <col min="2" max="4" width="13.33203125" customWidth="1"/>
  </cols>
  <sheetData>
    <row r="1" spans="1:4" ht="19">
      <c r="A1" s="102" t="s">
        <v>117</v>
      </c>
      <c r="B1" s="106"/>
      <c r="C1" s="106"/>
      <c r="D1" s="106"/>
    </row>
    <row r="2" spans="1:4">
      <c r="A2" s="103" t="s">
        <v>305</v>
      </c>
      <c r="B2" s="106"/>
      <c r="C2" s="106"/>
      <c r="D2" s="106"/>
    </row>
    <row r="3" spans="1:4">
      <c r="A3" s="104" t="s">
        <v>306</v>
      </c>
      <c r="B3" s="106"/>
      <c r="C3" s="106"/>
      <c r="D3" s="106"/>
    </row>
    <row r="4" spans="1:4">
      <c r="A4" s="105" t="s">
        <v>1</v>
      </c>
      <c r="B4" s="106"/>
      <c r="C4" s="106"/>
      <c r="D4" s="106"/>
    </row>
    <row r="6" spans="1:4" ht="17" thickBot="1">
      <c r="A6" s="108" t="s">
        <v>87</v>
      </c>
      <c r="B6" s="109" t="s">
        <v>2</v>
      </c>
      <c r="C6" s="109" t="s">
        <v>3</v>
      </c>
      <c r="D6" s="109" t="s">
        <v>4</v>
      </c>
    </row>
    <row r="8" spans="1:4">
      <c r="A8" s="107" t="s">
        <v>307</v>
      </c>
      <c r="B8" s="90"/>
      <c r="C8" s="90"/>
      <c r="D8" s="90"/>
    </row>
    <row r="9" spans="1:4">
      <c r="A9" t="s">
        <v>308</v>
      </c>
      <c r="B9" s="116">
        <v>761.4</v>
      </c>
      <c r="C9" s="116">
        <v>764.9</v>
      </c>
      <c r="D9" s="116">
        <v>1100</v>
      </c>
    </row>
    <row r="10" spans="1:4">
      <c r="A10" s="110" t="s">
        <v>309</v>
      </c>
      <c r="B10" s="116"/>
      <c r="C10" s="116"/>
      <c r="D10" s="116"/>
    </row>
    <row r="11" spans="1:4">
      <c r="A11" t="s">
        <v>310</v>
      </c>
      <c r="B11" s="116">
        <v>158</v>
      </c>
      <c r="C11" s="116">
        <v>133</v>
      </c>
      <c r="D11" s="116">
        <v>122.4</v>
      </c>
    </row>
    <row r="12" spans="1:4">
      <c r="A12" t="s">
        <v>311</v>
      </c>
      <c r="B12" s="116">
        <v>0</v>
      </c>
      <c r="C12" s="116">
        <v>81</v>
      </c>
      <c r="D12" s="116">
        <v>46.7</v>
      </c>
    </row>
    <row r="13" spans="1:4">
      <c r="A13" t="s">
        <v>312</v>
      </c>
      <c r="B13" s="116">
        <v>41.3</v>
      </c>
      <c r="C13" s="116">
        <v>41.8</v>
      </c>
      <c r="D13" s="116">
        <v>50.4</v>
      </c>
    </row>
    <row r="14" spans="1:4">
      <c r="A14" t="s">
        <v>313</v>
      </c>
      <c r="B14" s="116">
        <v>1.8</v>
      </c>
      <c r="C14" s="116">
        <v>31.6</v>
      </c>
      <c r="D14" s="116">
        <v>-5.0999999999999996</v>
      </c>
    </row>
    <row r="15" spans="1:4">
      <c r="A15" t="s">
        <v>314</v>
      </c>
      <c r="B15" s="116">
        <v>-14.4</v>
      </c>
      <c r="C15" s="116">
        <v>2</v>
      </c>
      <c r="D15" s="116">
        <v>0</v>
      </c>
    </row>
    <row r="16" spans="1:4">
      <c r="A16" t="s">
        <v>315</v>
      </c>
      <c r="B16" s="116">
        <v>-36.9</v>
      </c>
      <c r="C16" s="116">
        <v>-26.5</v>
      </c>
      <c r="D16" s="116">
        <v>-84.2</v>
      </c>
    </row>
    <row r="17" spans="1:4">
      <c r="A17" t="s">
        <v>316</v>
      </c>
      <c r="B17" s="116">
        <v>-15.2</v>
      </c>
      <c r="C17" s="116">
        <v>-23.6</v>
      </c>
      <c r="D17" s="116">
        <v>-8.4</v>
      </c>
    </row>
    <row r="18" spans="1:4">
      <c r="A18" t="s">
        <v>317</v>
      </c>
      <c r="B18" s="116">
        <v>4</v>
      </c>
      <c r="C18" s="116">
        <v>-0.7</v>
      </c>
      <c r="D18" s="116">
        <v>2.2000000000000002</v>
      </c>
    </row>
    <row r="19" spans="1:4">
      <c r="A19" s="110" t="s">
        <v>318</v>
      </c>
      <c r="B19" s="116"/>
      <c r="C19" s="116"/>
      <c r="D19" s="116"/>
    </row>
    <row r="20" spans="1:4">
      <c r="A20" t="s">
        <v>319</v>
      </c>
      <c r="B20" s="116">
        <v>39.4</v>
      </c>
      <c r="C20" s="116">
        <v>-124.3</v>
      </c>
      <c r="D20" s="116">
        <v>79.400000000000006</v>
      </c>
    </row>
    <row r="21" spans="1:4">
      <c r="A21" t="s">
        <v>320</v>
      </c>
      <c r="B21" s="116">
        <v>282.60000000000002</v>
      </c>
      <c r="C21" s="116">
        <v>76</v>
      </c>
      <c r="D21" s="116">
        <v>528.5</v>
      </c>
    </row>
    <row r="22" spans="1:4">
      <c r="A22" t="s">
        <v>321</v>
      </c>
      <c r="B22" s="116">
        <v>-26.3</v>
      </c>
      <c r="C22" s="116">
        <v>0.5</v>
      </c>
      <c r="D22" s="116">
        <v>6.1</v>
      </c>
    </row>
    <row r="23" spans="1:4">
      <c r="A23" t="s">
        <v>322</v>
      </c>
      <c r="B23" s="116">
        <v>-17.399999999999999</v>
      </c>
      <c r="C23" s="116">
        <v>-26</v>
      </c>
      <c r="D23" s="116">
        <v>17.100000000000001</v>
      </c>
    </row>
    <row r="24" spans="1:4">
      <c r="A24" t="s">
        <v>323</v>
      </c>
      <c r="B24" s="116">
        <v>-26.7</v>
      </c>
      <c r="C24" s="116">
        <v>17.3</v>
      </c>
      <c r="D24" s="116">
        <v>24.8</v>
      </c>
    </row>
    <row r="25" spans="1:4">
      <c r="A25" t="s">
        <v>324</v>
      </c>
      <c r="B25" s="116">
        <v>-19.100000000000001</v>
      </c>
      <c r="C25" s="116">
        <v>-36.4</v>
      </c>
      <c r="D25" s="116">
        <v>6.5</v>
      </c>
    </row>
    <row r="26" spans="1:4">
      <c r="A26" t="s">
        <v>325</v>
      </c>
      <c r="B26" s="116">
        <v>-95.2</v>
      </c>
      <c r="C26" s="116">
        <v>130.1</v>
      </c>
      <c r="D26" s="116">
        <v>-181.8</v>
      </c>
    </row>
    <row r="27" spans="1:4">
      <c r="A27" t="s">
        <v>326</v>
      </c>
      <c r="B27" s="116">
        <v>-5.8</v>
      </c>
      <c r="C27" s="116">
        <v>0.5</v>
      </c>
      <c r="D27" s="116">
        <v>0.5</v>
      </c>
    </row>
    <row r="28" spans="1:4">
      <c r="A28" t="s">
        <v>327</v>
      </c>
      <c r="B28" s="116">
        <v>-2.8</v>
      </c>
      <c r="C28" s="116">
        <v>0.8</v>
      </c>
      <c r="D28" s="116">
        <v>48.5</v>
      </c>
    </row>
    <row r="29" spans="1:4">
      <c r="A29" t="s">
        <v>328</v>
      </c>
      <c r="B29" s="116">
        <v>47.7</v>
      </c>
      <c r="C29" s="116">
        <v>61.2</v>
      </c>
      <c r="D29" s="116">
        <v>0</v>
      </c>
    </row>
    <row r="30" spans="1:4">
      <c r="A30" t="s">
        <v>329</v>
      </c>
      <c r="B30" s="116">
        <v>-0.8</v>
      </c>
      <c r="C30" s="116">
        <v>-2.6</v>
      </c>
      <c r="D30" s="116">
        <v>-1</v>
      </c>
    </row>
    <row r="31" spans="1:4">
      <c r="A31" s="111" t="s">
        <v>330</v>
      </c>
      <c r="B31" s="117">
        <f>SUM(B9:B30)</f>
        <v>1075.6000000000001</v>
      </c>
      <c r="C31" s="117">
        <f>SUM(C9:C30)</f>
        <v>1100.5999999999999</v>
      </c>
      <c r="D31" s="117">
        <f>SUM(D9:D30)</f>
        <v>1752.6000000000001</v>
      </c>
    </row>
    <row r="32" spans="1:4">
      <c r="B32" s="116"/>
      <c r="C32" s="116"/>
      <c r="D32" s="116"/>
    </row>
    <row r="33" spans="1:4">
      <c r="A33" s="107" t="s">
        <v>331</v>
      </c>
      <c r="B33" s="116"/>
      <c r="C33" s="116"/>
      <c r="D33" s="116"/>
    </row>
    <row r="34" spans="1:4">
      <c r="A34" t="s">
        <v>332</v>
      </c>
      <c r="B34" s="116">
        <v>0</v>
      </c>
      <c r="C34" s="116">
        <v>0</v>
      </c>
      <c r="D34" s="116">
        <v>441.8</v>
      </c>
    </row>
    <row r="35" spans="1:4">
      <c r="A35" t="s">
        <v>333</v>
      </c>
      <c r="B35" s="116">
        <v>-57.1</v>
      </c>
      <c r="C35" s="116">
        <v>-40.200000000000003</v>
      </c>
      <c r="D35" s="116">
        <v>-2.5</v>
      </c>
    </row>
    <row r="36" spans="1:4">
      <c r="A36" t="s">
        <v>334</v>
      </c>
      <c r="B36" s="116">
        <v>-89.8</v>
      </c>
      <c r="C36" s="116">
        <v>-115.6</v>
      </c>
      <c r="D36" s="116">
        <v>-174.8</v>
      </c>
    </row>
    <row r="37" spans="1:4">
      <c r="A37" t="s">
        <v>335</v>
      </c>
      <c r="B37" s="116">
        <v>135.69999999999999</v>
      </c>
      <c r="C37" s="116">
        <v>67.900000000000006</v>
      </c>
      <c r="D37" s="116">
        <v>248.1</v>
      </c>
    </row>
    <row r="38" spans="1:4">
      <c r="A38" t="s">
        <v>336</v>
      </c>
      <c r="B38" s="116">
        <v>0.8</v>
      </c>
      <c r="C38" s="116">
        <v>0.1</v>
      </c>
      <c r="D38" s="116">
        <v>1.6</v>
      </c>
    </row>
    <row r="39" spans="1:4">
      <c r="A39" t="s">
        <v>337</v>
      </c>
      <c r="B39" s="116">
        <v>0</v>
      </c>
      <c r="C39" s="116">
        <v>3.3</v>
      </c>
      <c r="D39" s="116">
        <v>0</v>
      </c>
    </row>
    <row r="40" spans="1:4">
      <c r="A40" t="s">
        <v>338</v>
      </c>
      <c r="B40" s="116">
        <v>0</v>
      </c>
      <c r="C40" s="116">
        <v>0.7</v>
      </c>
      <c r="D40" s="116">
        <v>0</v>
      </c>
    </row>
    <row r="41" spans="1:4">
      <c r="A41" t="s">
        <v>339</v>
      </c>
      <c r="B41" s="116">
        <v>0</v>
      </c>
      <c r="C41" s="116">
        <v>2.8</v>
      </c>
      <c r="D41" s="116">
        <v>7</v>
      </c>
    </row>
    <row r="42" spans="1:4">
      <c r="A42" t="s">
        <v>340</v>
      </c>
      <c r="B42" s="116">
        <v>0.3</v>
      </c>
      <c r="C42" s="116">
        <v>0.1</v>
      </c>
      <c r="D42" s="116">
        <v>0</v>
      </c>
    </row>
    <row r="43" spans="1:4">
      <c r="A43" t="s">
        <v>341</v>
      </c>
      <c r="B43" s="116">
        <v>-45</v>
      </c>
      <c r="C43" s="116">
        <v>-60.9</v>
      </c>
      <c r="D43" s="116">
        <v>-71</v>
      </c>
    </row>
    <row r="44" spans="1:4">
      <c r="A44" s="111" t="s">
        <v>342</v>
      </c>
      <c r="B44" s="117">
        <f>SUM(B34:B43)</f>
        <v>-55.100000000000016</v>
      </c>
      <c r="C44" s="117">
        <f>SUM(C34:C43)</f>
        <v>-141.80000000000001</v>
      </c>
      <c r="D44" s="117">
        <f>SUM(D34:D43)</f>
        <v>450.20000000000005</v>
      </c>
    </row>
    <row r="45" spans="1:4">
      <c r="B45" s="116"/>
      <c r="C45" s="116"/>
      <c r="D45" s="116"/>
    </row>
    <row r="46" spans="1:4">
      <c r="A46" s="107" t="s">
        <v>343</v>
      </c>
      <c r="B46" s="116"/>
      <c r="C46" s="116"/>
      <c r="D46" s="116"/>
    </row>
    <row r="47" spans="1:4">
      <c r="A47" t="s">
        <v>344</v>
      </c>
      <c r="B47" s="116">
        <v>-305</v>
      </c>
      <c r="C47" s="116">
        <v>0</v>
      </c>
      <c r="D47" s="116">
        <v>0</v>
      </c>
    </row>
    <row r="48" spans="1:4">
      <c r="A48" t="s">
        <v>345</v>
      </c>
      <c r="B48" s="116">
        <v>-223.5</v>
      </c>
      <c r="C48" s="116">
        <v>-249.4</v>
      </c>
      <c r="D48" s="116">
        <v>-284.3</v>
      </c>
    </row>
    <row r="49" spans="1:4">
      <c r="A49" t="s">
        <v>346</v>
      </c>
      <c r="B49" s="116">
        <v>-13.9</v>
      </c>
      <c r="C49" s="116">
        <v>-29.5</v>
      </c>
      <c r="D49" s="116">
        <v>-29.8</v>
      </c>
    </row>
    <row r="50" spans="1:4">
      <c r="A50" t="s">
        <v>347</v>
      </c>
      <c r="B50" s="116">
        <v>-16.7</v>
      </c>
      <c r="C50" s="116">
        <v>8.6</v>
      </c>
      <c r="D50" s="116">
        <v>9.1999999999999993</v>
      </c>
    </row>
    <row r="51" spans="1:4">
      <c r="A51" t="s">
        <v>348</v>
      </c>
      <c r="B51" s="116">
        <v>-13.1</v>
      </c>
      <c r="C51" s="116">
        <v>-13.9</v>
      </c>
      <c r="D51" s="116">
        <v>0</v>
      </c>
    </row>
    <row r="52" spans="1:4">
      <c r="A52" t="s">
        <v>349</v>
      </c>
      <c r="B52" s="116">
        <v>0</v>
      </c>
      <c r="C52" s="116">
        <v>-6</v>
      </c>
      <c r="D52" s="116">
        <v>0</v>
      </c>
    </row>
    <row r="53" spans="1:4">
      <c r="A53" t="s">
        <v>350</v>
      </c>
      <c r="B53" s="116">
        <v>-83.9</v>
      </c>
      <c r="C53" s="116">
        <v>-204.8</v>
      </c>
      <c r="D53" s="116">
        <v>-66.7</v>
      </c>
    </row>
    <row r="54" spans="1:4">
      <c r="A54" s="111" t="s">
        <v>351</v>
      </c>
      <c r="B54" s="117">
        <f>SUM(B47:B53)</f>
        <v>-656.1</v>
      </c>
      <c r="C54" s="117">
        <f>SUM(C47:C53)</f>
        <v>-494.99999999999994</v>
      </c>
      <c r="D54" s="117">
        <f>SUM(D47:D53)</f>
        <v>-371.6</v>
      </c>
    </row>
    <row r="55" spans="1:4">
      <c r="B55" s="116"/>
      <c r="C55" s="116"/>
      <c r="D55" s="116"/>
    </row>
    <row r="56" spans="1:4">
      <c r="A56" t="s">
        <v>352</v>
      </c>
      <c r="B56" s="116">
        <v>52.8</v>
      </c>
      <c r="C56" s="116">
        <v>-95.1</v>
      </c>
      <c r="D56" s="116">
        <v>271.8</v>
      </c>
    </row>
    <row r="57" spans="1:4">
      <c r="A57" s="107" t="s">
        <v>353</v>
      </c>
      <c r="B57" s="118">
        <f>B31+B44+B54+B56</f>
        <v>417.2000000000001</v>
      </c>
      <c r="C57" s="118">
        <f>C31+C44+C54+C56</f>
        <v>368.70000000000005</v>
      </c>
      <c r="D57" s="118">
        <f>D31+D44+D54+D56</f>
        <v>2103.0000000000005</v>
      </c>
    </row>
    <row r="58" spans="1:4">
      <c r="B58" s="116"/>
      <c r="C58" s="116"/>
      <c r="D58" s="116"/>
    </row>
    <row r="59" spans="1:4">
      <c r="A59" t="s">
        <v>354</v>
      </c>
      <c r="B59" s="116">
        <v>979.9</v>
      </c>
      <c r="C59" s="116">
        <f>B60</f>
        <v>1397.1000000000001</v>
      </c>
      <c r="D59" s="116">
        <f>C60</f>
        <v>1765.8000000000002</v>
      </c>
    </row>
    <row r="60" spans="1:4" ht="17" thickBot="1">
      <c r="A60" s="112" t="s">
        <v>355</v>
      </c>
      <c r="B60" s="119">
        <f>B59+B57</f>
        <v>1397.1000000000001</v>
      </c>
      <c r="C60" s="119">
        <f>C59+C57</f>
        <v>1765.8000000000002</v>
      </c>
      <c r="D60" s="119">
        <f>D59+D57</f>
        <v>3868.8000000000006</v>
      </c>
    </row>
    <row r="61" spans="1:4" ht="17" thickTop="1">
      <c r="B61" s="90"/>
      <c r="C61" s="90"/>
      <c r="D61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88C0-20D3-A243-912B-839C9930DCBE}">
  <sheetPr>
    <tabColor theme="8" tint="0.79998168889431442"/>
  </sheetPr>
  <dimension ref="A1:J96"/>
  <sheetViews>
    <sheetView workbookViewId="0">
      <pane ySplit="1" topLeftCell="A2" activePane="bottomLeft" state="frozen"/>
      <selection pane="bottomLeft" activeCell="I54" sqref="I54"/>
    </sheetView>
  </sheetViews>
  <sheetFormatPr baseColWidth="10" defaultRowHeight="16"/>
  <cols>
    <col min="1" max="1" width="46.6640625" customWidth="1"/>
    <col min="2" max="9" width="18.33203125" customWidth="1"/>
  </cols>
  <sheetData>
    <row r="1" spans="1:9">
      <c r="A1" s="34" t="s">
        <v>120</v>
      </c>
      <c r="B1" s="35" t="s">
        <v>121</v>
      </c>
      <c r="C1" s="35" t="s">
        <v>122</v>
      </c>
      <c r="D1" s="35" t="s">
        <v>123</v>
      </c>
      <c r="E1" s="36" t="s">
        <v>124</v>
      </c>
      <c r="F1" s="36" t="s">
        <v>125</v>
      </c>
      <c r="G1" s="36" t="s">
        <v>126</v>
      </c>
      <c r="H1" s="36" t="s">
        <v>127</v>
      </c>
      <c r="I1" s="36" t="s">
        <v>128</v>
      </c>
    </row>
    <row r="2" spans="1:9">
      <c r="A2" s="25" t="s">
        <v>88</v>
      </c>
      <c r="B2" s="29">
        <f>'Income Statement'!B21</f>
        <v>1918</v>
      </c>
      <c r="C2" s="29">
        <f>'Income Statement'!C21</f>
        <v>2072.4000000000005</v>
      </c>
      <c r="D2" s="29">
        <f>'Income Statement'!D21</f>
        <v>2429.1000000000004</v>
      </c>
      <c r="E2" s="29">
        <f>D2*(1+Assumptions!B4)</f>
        <v>2599.1370000000006</v>
      </c>
      <c r="F2" s="29">
        <f>E2*(1+Assumptions!C4)</f>
        <v>2768.0809050000007</v>
      </c>
      <c r="G2" s="29">
        <f>F2*(1+Assumptions!D4)</f>
        <v>2934.1657593000009</v>
      </c>
      <c r="H2" s="29">
        <f>G2*(1+Assumptions!E4)</f>
        <v>3095.5448760615009</v>
      </c>
      <c r="I2" s="29">
        <f>H2*(1+Assumptions!F4)</f>
        <v>3250.3221198645761</v>
      </c>
    </row>
    <row r="3" spans="1:9">
      <c r="A3" t="s">
        <v>89</v>
      </c>
      <c r="B3" s="30"/>
      <c r="C3" s="30">
        <f>C2/B2-1</f>
        <v>8.0500521376434042E-2</v>
      </c>
      <c r="D3" s="30">
        <f>D2/C2-1</f>
        <v>0.1721192819918933</v>
      </c>
      <c r="E3" s="30">
        <f>E2/D2-1</f>
        <v>7.0000000000000062E-2</v>
      </c>
      <c r="F3" s="30">
        <f t="shared" ref="F3:I3" si="0">F2/E2-1</f>
        <v>6.4999999999999947E-2</v>
      </c>
      <c r="G3" s="30">
        <f t="shared" si="0"/>
        <v>6.0000000000000053E-2</v>
      </c>
      <c r="H3" s="30">
        <f t="shared" si="0"/>
        <v>5.4999999999999938E-2</v>
      </c>
      <c r="I3" s="30">
        <f t="shared" si="0"/>
        <v>5.0000000000000044E-2</v>
      </c>
    </row>
    <row r="4" spans="1:9">
      <c r="A4" t="s">
        <v>90</v>
      </c>
      <c r="B4" s="30"/>
      <c r="C4" s="30">
        <f>C3</f>
        <v>8.0500521376434042E-2</v>
      </c>
      <c r="D4" s="30">
        <f>AVERAGE(C3:D3)</f>
        <v>0.12630990168416367</v>
      </c>
      <c r="E4" s="30">
        <f>AVERAGE($C3:E3)</f>
        <v>0.10753993445610914</v>
      </c>
      <c r="F4" s="30">
        <f>AVERAGE($C3:F3)</f>
        <v>9.6904950842081838E-2</v>
      </c>
      <c r="G4" s="30">
        <f>AVERAGE($C3:G3)</f>
        <v>8.9523960673665484E-2</v>
      </c>
      <c r="H4" s="30">
        <f>AVERAGE($C3:H3)</f>
        <v>8.3769967228054562E-2</v>
      </c>
      <c r="I4" s="30">
        <f>AVERAGE($C3:I3)</f>
        <v>7.8945686195475345E-2</v>
      </c>
    </row>
    <row r="5" spans="1:9">
      <c r="B5" s="31"/>
      <c r="C5" s="31"/>
      <c r="D5" s="31"/>
      <c r="E5" s="31"/>
      <c r="F5" s="31"/>
      <c r="G5" s="31"/>
      <c r="H5" s="31"/>
      <c r="I5" s="31"/>
    </row>
    <row r="6" spans="1:9">
      <c r="A6" t="s">
        <v>91</v>
      </c>
      <c r="B6" s="32">
        <f>'Income Statement'!B33-'Income Statement'!B25-'Income Statement'!B31-'Income Statement'!B30</f>
        <v>694.7</v>
      </c>
      <c r="C6" s="32">
        <f>'Income Statement'!C33-'Income Statement'!C25-'Income Statement'!C31-'Income Statement'!C30</f>
        <v>758.69999999999982</v>
      </c>
      <c r="D6" s="32">
        <f>'Income Statement'!D33-'Income Statement'!D25-'Income Statement'!D31-'Income Statement'!D30</f>
        <v>792.60000000000014</v>
      </c>
      <c r="E6" s="32">
        <f>E2*Assumptions!B5</f>
        <v>870.71089500000028</v>
      </c>
      <c r="F6" s="32">
        <f>F2*Assumptions!C5</f>
        <v>913.46669865000024</v>
      </c>
      <c r="G6" s="32">
        <f>G2*Assumptions!D5</f>
        <v>953.60387177250027</v>
      </c>
      <c r="H6" s="32">
        <f>H2*Assumptions!E5</f>
        <v>990.57436033968031</v>
      </c>
      <c r="I6" s="32">
        <f>I2*Assumptions!F5</f>
        <v>1023.8514677573414</v>
      </c>
    </row>
    <row r="7" spans="1:9">
      <c r="A7" t="s">
        <v>92</v>
      </c>
      <c r="B7" s="30">
        <f>B6/B2</f>
        <v>0.36220020855057355</v>
      </c>
      <c r="C7" s="30">
        <f>C6/C2</f>
        <v>0.3660972785176605</v>
      </c>
      <c r="D7" s="30">
        <f>D6/D2</f>
        <v>0.32629368902062494</v>
      </c>
      <c r="E7" s="30">
        <f>E6/E2</f>
        <v>0.33500000000000002</v>
      </c>
      <c r="F7" s="30">
        <f t="shared" ref="F7:I7" si="1">F6/F2</f>
        <v>0.33</v>
      </c>
      <c r="G7" s="30">
        <f t="shared" si="1"/>
        <v>0.32500000000000001</v>
      </c>
      <c r="H7" s="30">
        <f t="shared" si="1"/>
        <v>0.32</v>
      </c>
      <c r="I7" s="30">
        <f t="shared" si="1"/>
        <v>0.315</v>
      </c>
    </row>
    <row r="8" spans="1:9">
      <c r="A8" t="s">
        <v>93</v>
      </c>
      <c r="B8" s="30"/>
      <c r="C8" s="30">
        <f>AVERAGE($B7:C7)</f>
        <v>0.36414874353411703</v>
      </c>
      <c r="D8" s="30">
        <f>AVERAGE($B7:D7)</f>
        <v>0.35153039202961961</v>
      </c>
      <c r="E8" s="30">
        <f>AVERAGE($B7:E7)</f>
        <v>0.34739779402221471</v>
      </c>
      <c r="F8" s="30">
        <f>AVERAGE($B7:F7)</f>
        <v>0.34391823521777176</v>
      </c>
      <c r="G8" s="30">
        <f>AVERAGE($B7:G7)</f>
        <v>0.34076519601480987</v>
      </c>
      <c r="H8" s="30">
        <f>AVERAGE($B7:H7)</f>
        <v>0.33779873944126554</v>
      </c>
      <c r="I8" s="30">
        <f>AVERAGE($B7:I7)</f>
        <v>0.33494889701110736</v>
      </c>
    </row>
    <row r="9" spans="1:9">
      <c r="A9" s="151" t="s">
        <v>94</v>
      </c>
      <c r="B9" s="152"/>
      <c r="C9" s="152"/>
      <c r="D9" s="152"/>
      <c r="E9" s="153">
        <f>Assumptions!B5</f>
        <v>0.33500000000000002</v>
      </c>
      <c r="F9" s="153">
        <f>Assumptions!C5</f>
        <v>0.33</v>
      </c>
      <c r="G9" s="153">
        <f>Assumptions!D5</f>
        <v>0.32500000000000001</v>
      </c>
      <c r="H9" s="153">
        <f>Assumptions!E5</f>
        <v>0.32</v>
      </c>
      <c r="I9" s="153">
        <f>Assumptions!F5</f>
        <v>0.315</v>
      </c>
    </row>
    <row r="10" spans="1:9">
      <c r="B10" s="31"/>
      <c r="C10" s="31"/>
      <c r="D10" s="31"/>
      <c r="E10" s="31"/>
      <c r="F10" s="31"/>
      <c r="G10" s="31"/>
      <c r="H10" s="31"/>
      <c r="I10" s="31"/>
    </row>
    <row r="11" spans="1:9">
      <c r="A11" s="25" t="s">
        <v>95</v>
      </c>
      <c r="B11" s="29">
        <f>B2-B6</f>
        <v>1223.3</v>
      </c>
      <c r="C11" s="29">
        <f>C2-C6</f>
        <v>1313.7000000000007</v>
      </c>
      <c r="D11" s="29">
        <f>D2-D6</f>
        <v>1636.5000000000002</v>
      </c>
      <c r="E11" s="29">
        <f>E2-E6</f>
        <v>1728.4261050000005</v>
      </c>
      <c r="F11" s="29">
        <f t="shared" ref="F11:I11" si="2">F2-F6</f>
        <v>1854.6142063500006</v>
      </c>
      <c r="G11" s="29">
        <f t="shared" si="2"/>
        <v>1980.5618875275006</v>
      </c>
      <c r="H11" s="29">
        <f t="shared" si="2"/>
        <v>2104.9705157218204</v>
      </c>
      <c r="I11" s="29">
        <f t="shared" si="2"/>
        <v>2226.4706521072349</v>
      </c>
    </row>
    <row r="12" spans="1:9">
      <c r="A12" t="s">
        <v>96</v>
      </c>
      <c r="B12" s="30">
        <f>B11/B2</f>
        <v>0.63779979144942645</v>
      </c>
      <c r="C12" s="30">
        <f>C11/C2</f>
        <v>0.6339027214823395</v>
      </c>
      <c r="D12" s="30">
        <f>D11/D2</f>
        <v>0.67370631097937506</v>
      </c>
      <c r="E12" s="30">
        <f>E11/E2</f>
        <v>0.66500000000000004</v>
      </c>
      <c r="F12" s="30">
        <f t="shared" ref="F12:I12" si="3">F11/F2</f>
        <v>0.67</v>
      </c>
      <c r="G12" s="30">
        <f t="shared" si="3"/>
        <v>0.67500000000000004</v>
      </c>
      <c r="H12" s="30">
        <f t="shared" si="3"/>
        <v>0.67999999999999994</v>
      </c>
      <c r="I12" s="30">
        <f t="shared" si="3"/>
        <v>0.68500000000000005</v>
      </c>
    </row>
    <row r="13" spans="1:9">
      <c r="B13" s="31"/>
      <c r="C13" s="31"/>
      <c r="D13" s="31"/>
      <c r="E13" s="31"/>
      <c r="F13" s="31"/>
      <c r="G13" s="31"/>
      <c r="H13" s="31"/>
      <c r="I13" s="31"/>
    </row>
    <row r="14" spans="1:9">
      <c r="B14" s="31"/>
      <c r="C14" s="31"/>
      <c r="D14" s="31"/>
      <c r="E14" s="31"/>
      <c r="F14" s="31"/>
      <c r="G14" s="31"/>
      <c r="H14" s="31"/>
      <c r="I14" s="31"/>
    </row>
    <row r="15" spans="1:9">
      <c r="A15" s="1" t="s">
        <v>97</v>
      </c>
      <c r="B15" s="32">
        <f>'Income Statement'!B25</f>
        <v>158</v>
      </c>
      <c r="C15" s="32">
        <f>'Income Statement'!C25</f>
        <v>133</v>
      </c>
      <c r="D15" s="32">
        <f>'Income Statement'!D25</f>
        <v>122.4</v>
      </c>
      <c r="E15" s="32">
        <f>E2*Assumptions!B6</f>
        <v>124.75857600000003</v>
      </c>
      <c r="F15" s="32">
        <f>F2*Assumptions!C6</f>
        <v>127.33172163000003</v>
      </c>
      <c r="G15" s="32">
        <f>G2*Assumptions!D6</f>
        <v>129.10329340920003</v>
      </c>
      <c r="H15" s="32">
        <f>H2*Assumptions!E6</f>
        <v>133.10842967064454</v>
      </c>
      <c r="I15" s="32">
        <f>I2*Assumptions!F6</f>
        <v>136.5135290343122</v>
      </c>
    </row>
    <row r="16" spans="1:9">
      <c r="A16" t="s">
        <v>98</v>
      </c>
      <c r="B16" s="30">
        <f>B15/B2</f>
        <v>8.2377476538060476E-2</v>
      </c>
      <c r="C16" s="30">
        <f>C15/C2</f>
        <v>6.4176799845589633E-2</v>
      </c>
      <c r="D16" s="30">
        <f>D15/D2</f>
        <v>5.0389032975175989E-2</v>
      </c>
      <c r="E16" s="30">
        <f>E15/E2</f>
        <v>4.8000000000000001E-2</v>
      </c>
      <c r="F16" s="30">
        <f t="shared" ref="F16:I16" si="4">F15/F2</f>
        <v>4.5999999999999999E-2</v>
      </c>
      <c r="G16" s="30">
        <f t="shared" si="4"/>
        <v>4.3999999999999997E-2</v>
      </c>
      <c r="H16" s="30">
        <f t="shared" si="4"/>
        <v>4.3000000000000003E-2</v>
      </c>
      <c r="I16" s="30">
        <f t="shared" si="4"/>
        <v>4.2000000000000003E-2</v>
      </c>
    </row>
    <row r="17" spans="1:10">
      <c r="A17" t="s">
        <v>99</v>
      </c>
      <c r="B17" s="30"/>
      <c r="C17" s="30">
        <f>AVERAGE($B16:C16)</f>
        <v>7.3277138191825048E-2</v>
      </c>
      <c r="D17" s="30">
        <f>AVERAGE($B16:D16)</f>
        <v>6.5647769786275359E-2</v>
      </c>
      <c r="E17" s="30">
        <f>AVERAGE($B16:E16)</f>
        <v>6.1235827339706519E-2</v>
      </c>
      <c r="F17" s="30">
        <f>AVERAGE($B16:F16)</f>
        <v>5.8188661871765211E-2</v>
      </c>
      <c r="G17" s="30">
        <f>AVERAGE($B16:G16)</f>
        <v>5.5823884893137672E-2</v>
      </c>
      <c r="H17" s="30">
        <f>AVERAGE($B16:H16)</f>
        <v>5.3991901336975144E-2</v>
      </c>
      <c r="I17" s="30">
        <f>AVERAGE($B16:I16)</f>
        <v>5.2492913669853251E-2</v>
      </c>
    </row>
    <row r="18" spans="1:10">
      <c r="A18" s="24" t="s">
        <v>100</v>
      </c>
      <c r="B18" s="31"/>
      <c r="C18" s="31"/>
      <c r="D18" s="152"/>
      <c r="E18" s="153">
        <f>Assumptions!B6</f>
        <v>4.8000000000000001E-2</v>
      </c>
      <c r="F18" s="153">
        <f>Assumptions!C6</f>
        <v>4.5999999999999999E-2</v>
      </c>
      <c r="G18" s="153">
        <f>Assumptions!D6</f>
        <v>4.3999999999999997E-2</v>
      </c>
      <c r="H18" s="153">
        <f>Assumptions!E6</f>
        <v>4.2999999999999997E-2</v>
      </c>
      <c r="I18" s="153">
        <f>Assumptions!F6</f>
        <v>4.2000000000000003E-2</v>
      </c>
    </row>
    <row r="19" spans="1:10">
      <c r="B19" s="31"/>
      <c r="C19" s="31"/>
      <c r="D19" s="31"/>
      <c r="E19" s="31"/>
      <c r="F19" s="31"/>
      <c r="G19" s="31"/>
      <c r="H19" s="31"/>
      <c r="I19" s="31"/>
    </row>
    <row r="20" spans="1:10">
      <c r="A20" s="25" t="s">
        <v>101</v>
      </c>
      <c r="B20" s="29">
        <f>B11-B15</f>
        <v>1065.3</v>
      </c>
      <c r="C20" s="29">
        <f>C11-C15</f>
        <v>1180.7000000000007</v>
      </c>
      <c r="D20" s="29">
        <f>D11-D15</f>
        <v>1514.1000000000001</v>
      </c>
      <c r="E20" s="29">
        <f>E11-E15</f>
        <v>1603.6675290000005</v>
      </c>
      <c r="F20" s="29">
        <f t="shared" ref="F20:I20" si="5">F11-F15</f>
        <v>1727.2824847200006</v>
      </c>
      <c r="G20" s="29">
        <f t="shared" si="5"/>
        <v>1851.4585941183007</v>
      </c>
      <c r="H20" s="29">
        <f t="shared" si="5"/>
        <v>1971.862086051176</v>
      </c>
      <c r="I20" s="29">
        <f t="shared" si="5"/>
        <v>2089.9571230729225</v>
      </c>
    </row>
    <row r="21" spans="1:10">
      <c r="A21" t="s">
        <v>102</v>
      </c>
      <c r="B21" s="30">
        <f>B20/B2</f>
        <v>0.55542231491136596</v>
      </c>
      <c r="C21" s="30">
        <f>C20/C2</f>
        <v>0.56972592163674984</v>
      </c>
      <c r="D21" s="30">
        <f>D20/D2</f>
        <v>0.623317278004199</v>
      </c>
      <c r="E21" s="30">
        <f>E20/E2</f>
        <v>0.6170000000000001</v>
      </c>
      <c r="F21" s="30">
        <f t="shared" ref="F21:I21" si="6">F20/F2</f>
        <v>0.62400000000000011</v>
      </c>
      <c r="G21" s="30">
        <f t="shared" si="6"/>
        <v>0.63100000000000001</v>
      </c>
      <c r="H21" s="30">
        <f t="shared" si="6"/>
        <v>0.63700000000000001</v>
      </c>
      <c r="I21" s="30">
        <f t="shared" si="6"/>
        <v>0.64300000000000002</v>
      </c>
    </row>
    <row r="22" spans="1:10">
      <c r="B22" s="30"/>
      <c r="C22" s="30"/>
      <c r="D22" s="30"/>
      <c r="E22" s="30"/>
      <c r="F22" s="30"/>
      <c r="G22" s="30"/>
      <c r="H22" s="30"/>
      <c r="I22" s="30"/>
    </row>
    <row r="23" spans="1:10">
      <c r="A23" s="58"/>
      <c r="B23" s="59"/>
      <c r="C23" s="59"/>
      <c r="D23" s="59"/>
      <c r="E23" s="59"/>
      <c r="F23" s="59"/>
      <c r="G23" s="59"/>
      <c r="H23" s="59"/>
      <c r="I23" s="59"/>
      <c r="J23" s="58"/>
    </row>
    <row r="24" spans="1:10">
      <c r="B24" s="31"/>
      <c r="C24" s="31"/>
      <c r="D24" s="31"/>
      <c r="E24" s="31"/>
      <c r="F24" s="31"/>
      <c r="G24" s="31"/>
      <c r="H24" s="31"/>
      <c r="I24" s="31"/>
    </row>
    <row r="25" spans="1:10">
      <c r="A25" s="42" t="s">
        <v>134</v>
      </c>
      <c r="B25" s="33"/>
      <c r="C25" s="33"/>
      <c r="D25" s="33"/>
      <c r="E25" s="33"/>
      <c r="F25" s="33"/>
      <c r="G25" s="33"/>
      <c r="H25" s="33"/>
      <c r="I25" s="33"/>
    </row>
    <row r="26" spans="1:10">
      <c r="B26" s="31"/>
      <c r="C26" s="31"/>
      <c r="D26" s="31"/>
      <c r="E26" s="31"/>
      <c r="F26" s="31"/>
      <c r="G26" s="31"/>
      <c r="H26" s="31"/>
      <c r="I26" s="31"/>
    </row>
    <row r="27" spans="1:10">
      <c r="A27" s="1" t="s">
        <v>103</v>
      </c>
      <c r="B27" s="32">
        <f>B20</f>
        <v>1065.3</v>
      </c>
      <c r="C27" s="32">
        <f>C20</f>
        <v>1180.7000000000007</v>
      </c>
      <c r="D27" s="32">
        <f>D20</f>
        <v>1514.1000000000001</v>
      </c>
      <c r="E27" s="32">
        <f>E20</f>
        <v>1603.6675290000005</v>
      </c>
      <c r="F27" s="32">
        <f t="shared" ref="F27:I27" si="7">F20</f>
        <v>1727.2824847200006</v>
      </c>
      <c r="G27" s="32">
        <f t="shared" si="7"/>
        <v>1851.4585941183007</v>
      </c>
      <c r="H27" s="32">
        <f t="shared" si="7"/>
        <v>1971.862086051176</v>
      </c>
      <c r="I27" s="32">
        <f t="shared" si="7"/>
        <v>2089.9571230729225</v>
      </c>
    </row>
    <row r="28" spans="1:10">
      <c r="A28" t="s">
        <v>104</v>
      </c>
      <c r="B28" s="30">
        <f>'Income Statement'!B44/'Income Statement'!B43</f>
        <v>0.27319587628865977</v>
      </c>
      <c r="C28" s="30">
        <f>'Income Statement'!C44/'Income Statement'!C43</f>
        <v>0.29424248016239135</v>
      </c>
      <c r="D28" s="30">
        <f>'Income Statement'!D44/'Income Statement'!D43</f>
        <v>0.2978424613813353</v>
      </c>
      <c r="E28" s="41">
        <f>Assumptions!B7</f>
        <v>0.29499999999999998</v>
      </c>
      <c r="F28" s="41">
        <f>Assumptions!C7</f>
        <v>0.29499999999999998</v>
      </c>
      <c r="G28" s="41">
        <f>Assumptions!D7</f>
        <v>0.29499999999999998</v>
      </c>
      <c r="H28" s="41">
        <f>Assumptions!E7</f>
        <v>0.29499999999999998</v>
      </c>
      <c r="I28" s="41">
        <f>Assumptions!F7</f>
        <v>0.29499999999999998</v>
      </c>
    </row>
    <row r="29" spans="1:10">
      <c r="A29" t="s">
        <v>105</v>
      </c>
      <c r="B29" s="32">
        <f>IF(B27&gt;0,B27*B28,0)</f>
        <v>291.03556701030925</v>
      </c>
      <c r="C29" s="32">
        <f>IF(C27&gt;0,C27*C28,0)</f>
        <v>347.4120963277357</v>
      </c>
      <c r="D29" s="32">
        <f>IF(D27&gt;0,D27*D28,0)</f>
        <v>450.96327077747981</v>
      </c>
      <c r="E29" s="32">
        <f>IF(E27&gt;0,E27*E28,0)</f>
        <v>473.08192105500012</v>
      </c>
      <c r="F29" s="32">
        <f t="shared" ref="F29:I29" si="8">IF(F27&gt;0,F27*F28,0)</f>
        <v>509.54833299240016</v>
      </c>
      <c r="G29" s="32">
        <f t="shared" si="8"/>
        <v>546.18028526489866</v>
      </c>
      <c r="H29" s="32">
        <f t="shared" si="8"/>
        <v>581.69931538509684</v>
      </c>
      <c r="I29" s="32">
        <f t="shared" si="8"/>
        <v>616.53735130651216</v>
      </c>
    </row>
    <row r="30" spans="1:10">
      <c r="A30" s="25" t="s">
        <v>106</v>
      </c>
      <c r="B30" s="29">
        <f>B27-B29</f>
        <v>774.2644329896907</v>
      </c>
      <c r="C30" s="29">
        <f>C27-C29</f>
        <v>833.28790367226497</v>
      </c>
      <c r="D30" s="29">
        <f>D27-D29</f>
        <v>1063.1367292225204</v>
      </c>
      <c r="E30" s="29">
        <f>E27-E29</f>
        <v>1130.5856079450004</v>
      </c>
      <c r="F30" s="29">
        <f t="shared" ref="F30:I30" si="9">F27-F29</f>
        <v>1217.7341517276004</v>
      </c>
      <c r="G30" s="29">
        <f t="shared" si="9"/>
        <v>1305.278308853402</v>
      </c>
      <c r="H30" s="29">
        <f t="shared" si="9"/>
        <v>1390.1627706660793</v>
      </c>
      <c r="I30" s="29">
        <f t="shared" si="9"/>
        <v>1473.4197717664103</v>
      </c>
    </row>
    <row r="31" spans="1:10">
      <c r="A31" t="s">
        <v>97</v>
      </c>
      <c r="B31" s="32">
        <f>B15</f>
        <v>158</v>
      </c>
      <c r="C31" s="32">
        <f>C15</f>
        <v>133</v>
      </c>
      <c r="D31" s="32">
        <f>D15</f>
        <v>122.4</v>
      </c>
      <c r="E31" s="32">
        <f>E15</f>
        <v>124.75857600000003</v>
      </c>
      <c r="F31" s="32">
        <f t="shared" ref="F31:I31" si="10">F15</f>
        <v>127.33172163000003</v>
      </c>
      <c r="G31" s="32">
        <f t="shared" si="10"/>
        <v>129.10329340920003</v>
      </c>
      <c r="H31" s="32">
        <f t="shared" si="10"/>
        <v>133.10842967064454</v>
      </c>
      <c r="I31" s="32">
        <f t="shared" si="10"/>
        <v>136.5135290343122</v>
      </c>
    </row>
    <row r="32" spans="1:10">
      <c r="B32" s="31"/>
      <c r="C32" s="31"/>
      <c r="D32" s="31"/>
      <c r="E32" s="31"/>
      <c r="F32" s="31"/>
      <c r="G32" s="31"/>
      <c r="H32" s="31"/>
      <c r="I32" s="31"/>
    </row>
    <row r="33" spans="1:9">
      <c r="A33" s="1" t="s">
        <v>107</v>
      </c>
      <c r="B33" s="32">
        <f>('Balance Sheet'!B12+'Balance Sheet'!B15+'Balance Sheet'!B16)-('Balance Sheet'!B30+'Balance Sheet'!B32+'Balance Sheet'!B35)</f>
        <v>58.900000000000034</v>
      </c>
      <c r="C33" s="32">
        <f>('Balance Sheet'!C12+'Balance Sheet'!C15+'Balance Sheet'!C16)-('Balance Sheet'!C30+'Balance Sheet'!C32+'Balance Sheet'!C35)</f>
        <v>235.3</v>
      </c>
      <c r="D33" s="32">
        <f>('Balance Sheet'!D12+'Balance Sheet'!D15+'Balance Sheet'!D16)-('Balance Sheet'!D30+'Balance Sheet'!D32+'Balance Sheet'!D35)</f>
        <v>-193.30000000000007</v>
      </c>
      <c r="E33" s="32">
        <f>E2*Assumptions!B8</f>
        <v>-155.94822000000002</v>
      </c>
      <c r="F33" s="32">
        <f>F2*Assumptions!C8</f>
        <v>-124.56364072500003</v>
      </c>
      <c r="G33" s="32">
        <f>G2*Assumptions!D8</f>
        <v>-88.024972779000024</v>
      </c>
      <c r="H33" s="32">
        <f>H2*Assumptions!E8</f>
        <v>-46.433173140922513</v>
      </c>
      <c r="I33" s="32">
        <f>I2*Assumptions!F8</f>
        <v>0</v>
      </c>
    </row>
    <row r="34" spans="1:9">
      <c r="A34" t="s">
        <v>108</v>
      </c>
      <c r="B34" s="30">
        <f>B33/B2</f>
        <v>3.0709071949947882E-2</v>
      </c>
      <c r="C34" s="30">
        <f>C33/C2</f>
        <v>0.1135398571704304</v>
      </c>
      <c r="D34" s="30">
        <f>D33/D2</f>
        <v>-7.9576797991025502E-2</v>
      </c>
      <c r="E34" s="30">
        <f>E33/E2</f>
        <v>-5.9999999999999991E-2</v>
      </c>
      <c r="F34" s="30">
        <f t="shared" ref="F34:I34" si="11">F33/F2</f>
        <v>-4.4999999999999998E-2</v>
      </c>
      <c r="G34" s="30">
        <f t="shared" si="11"/>
        <v>-0.03</v>
      </c>
      <c r="H34" s="30">
        <f t="shared" si="11"/>
        <v>-1.4999999999999999E-2</v>
      </c>
      <c r="I34" s="30">
        <f t="shared" si="11"/>
        <v>0</v>
      </c>
    </row>
    <row r="35" spans="1:9">
      <c r="A35" t="s">
        <v>109</v>
      </c>
      <c r="B35" s="30"/>
      <c r="C35" s="30">
        <f>AVERAGE($B34:C34)</f>
        <v>7.2124464560189144E-2</v>
      </c>
      <c r="D35" s="30">
        <f>AVERAGE($B34:D34)</f>
        <v>2.1557377043117595E-2</v>
      </c>
      <c r="E35" s="30">
        <f>AVERAGE($B34:E34)</f>
        <v>1.1680327823381988E-3</v>
      </c>
      <c r="F35" s="30">
        <f>AVERAGE($B34:F34)</f>
        <v>-8.0655737741294406E-3</v>
      </c>
      <c r="G35" s="30">
        <f>AVERAGE($B34:G34)</f>
        <v>-1.1721311478441201E-2</v>
      </c>
      <c r="H35" s="30">
        <f>AVERAGE($B34:H34)</f>
        <v>-1.2189695552949601E-2</v>
      </c>
      <c r="I35" s="30">
        <f>AVERAGE($B34:I34)</f>
        <v>-1.0665983608830901E-2</v>
      </c>
    </row>
    <row r="36" spans="1:9">
      <c r="A36" s="24" t="s">
        <v>110</v>
      </c>
      <c r="B36" s="152"/>
      <c r="C36" s="152"/>
      <c r="D36" s="152"/>
      <c r="E36" s="154">
        <f>Assumptions!B8</f>
        <v>-0.06</v>
      </c>
      <c r="F36" s="154">
        <f>Assumptions!C8</f>
        <v>-4.4999999999999998E-2</v>
      </c>
      <c r="G36" s="154">
        <f>Assumptions!D8</f>
        <v>-0.03</v>
      </c>
      <c r="H36" s="154">
        <f>Assumptions!E8</f>
        <v>-1.4999999999999999E-2</v>
      </c>
      <c r="I36" s="154">
        <f>Assumptions!F8</f>
        <v>0</v>
      </c>
    </row>
    <row r="37" spans="1:9">
      <c r="A37" t="s">
        <v>116</v>
      </c>
      <c r="B37" s="155">
        <f>-(B33-30.3)</f>
        <v>-28.600000000000033</v>
      </c>
      <c r="C37" s="155">
        <f>-(C33-B33)</f>
        <v>-176.39999999999998</v>
      </c>
      <c r="D37" s="155">
        <f>-(D33-C33)</f>
        <v>428.60000000000008</v>
      </c>
      <c r="E37" s="155">
        <f>-(E33-D33)</f>
        <v>-37.351780000000048</v>
      </c>
      <c r="F37" s="155">
        <f t="shared" ref="F37:I37" si="12">-(F33-E33)</f>
        <v>-31.384579274999993</v>
      </c>
      <c r="G37" s="155">
        <f t="shared" si="12"/>
        <v>-36.538667946000004</v>
      </c>
      <c r="H37" s="155">
        <f t="shared" si="12"/>
        <v>-41.591799638077511</v>
      </c>
      <c r="I37" s="155">
        <f t="shared" si="12"/>
        <v>-46.433173140922513</v>
      </c>
    </row>
    <row r="38" spans="1:9">
      <c r="B38" s="152"/>
      <c r="C38" s="152"/>
      <c r="D38" s="152"/>
      <c r="E38" s="152"/>
      <c r="F38" s="152"/>
      <c r="G38" s="152"/>
      <c r="H38" s="152"/>
      <c r="I38" s="152"/>
    </row>
    <row r="39" spans="1:9">
      <c r="A39" s="1" t="s">
        <v>111</v>
      </c>
      <c r="B39" s="155">
        <v>-45</v>
      </c>
      <c r="C39" s="155">
        <v>-60.9</v>
      </c>
      <c r="D39" s="155">
        <v>-71</v>
      </c>
      <c r="E39" s="155">
        <f>-E2*Assumptions!B9</f>
        <v>-77.97411000000001</v>
      </c>
      <c r="F39" s="155">
        <f>-F2*Assumptions!C9</f>
        <v>-83.042427150000023</v>
      </c>
      <c r="G39" s="155">
        <f>-G2*Assumptions!D9</f>
        <v>-85.090807019700037</v>
      </c>
      <c r="H39" s="155">
        <f>-H2*Assumptions!E9</f>
        <v>-89.77080140578353</v>
      </c>
      <c r="I39" s="155">
        <f>-I2*Assumptions!F9</f>
        <v>-91.009019356208128</v>
      </c>
    </row>
    <row r="40" spans="1:9">
      <c r="A40" t="s">
        <v>112</v>
      </c>
      <c r="B40" s="153">
        <f>-B39/B2</f>
        <v>2.346193952033368E-2</v>
      </c>
      <c r="C40" s="153">
        <f>-C39/C2</f>
        <v>2.9386218876664729E-2</v>
      </c>
      <c r="D40" s="153">
        <f>-D39/D2</f>
        <v>2.9228932526450122E-2</v>
      </c>
      <c r="E40" s="153">
        <f>-E39/E2</f>
        <v>2.9999999999999995E-2</v>
      </c>
      <c r="F40" s="153">
        <f t="shared" ref="F40:I40" si="13">-F39/F2</f>
        <v>0.03</v>
      </c>
      <c r="G40" s="153">
        <f t="shared" si="13"/>
        <v>2.9000000000000005E-2</v>
      </c>
      <c r="H40" s="153">
        <f t="shared" si="13"/>
        <v>2.9000000000000001E-2</v>
      </c>
      <c r="I40" s="153">
        <f t="shared" si="13"/>
        <v>2.8000000000000001E-2</v>
      </c>
    </row>
    <row r="41" spans="1:9">
      <c r="A41" s="24" t="s">
        <v>113</v>
      </c>
      <c r="B41" s="152"/>
      <c r="C41" s="152"/>
      <c r="D41" s="152"/>
      <c r="E41" s="152"/>
      <c r="F41" s="152"/>
      <c r="G41" s="152"/>
      <c r="H41" s="152"/>
      <c r="I41" s="152"/>
    </row>
    <row r="42" spans="1:9">
      <c r="A42" s="24" t="s">
        <v>114</v>
      </c>
      <c r="B42" s="152"/>
      <c r="C42" s="152"/>
      <c r="D42" s="152"/>
      <c r="E42" s="153">
        <f>Assumptions!B9</f>
        <v>0.03</v>
      </c>
      <c r="F42" s="153">
        <f>Assumptions!C9</f>
        <v>0.03</v>
      </c>
      <c r="G42" s="153">
        <f>Assumptions!D9</f>
        <v>2.9000000000000001E-2</v>
      </c>
      <c r="H42" s="153">
        <f>Assumptions!E9</f>
        <v>2.9000000000000001E-2</v>
      </c>
      <c r="I42" s="153">
        <f>Assumptions!F9</f>
        <v>2.8000000000000001E-2</v>
      </c>
    </row>
    <row r="43" spans="1:9">
      <c r="B43" s="31"/>
      <c r="C43" s="31"/>
      <c r="D43" s="31"/>
      <c r="E43" s="31"/>
      <c r="F43" s="31"/>
      <c r="G43" s="31"/>
      <c r="H43" s="31"/>
      <c r="I43" s="31"/>
    </row>
    <row r="44" spans="1:9" ht="17" thickBot="1">
      <c r="B44" s="31"/>
      <c r="C44" s="31"/>
      <c r="D44" s="31"/>
      <c r="E44" s="31"/>
      <c r="F44" s="31"/>
      <c r="G44" s="31"/>
      <c r="H44" s="31"/>
      <c r="I44" s="31"/>
    </row>
    <row r="45" spans="1:9" ht="17" thickBot="1">
      <c r="A45" s="26" t="s">
        <v>115</v>
      </c>
      <c r="B45" s="28">
        <f>B30+B31+B37+B39</f>
        <v>858.66443298969068</v>
      </c>
      <c r="C45" s="28">
        <f>C30+C31+C37+C39</f>
        <v>728.98790367226502</v>
      </c>
      <c r="D45" s="28">
        <f>D30+D31+D37+D39</f>
        <v>1543.1367292225207</v>
      </c>
      <c r="E45" s="28">
        <f>E30+E31+E37+E39</f>
        <v>1140.0182939450003</v>
      </c>
      <c r="F45" s="28">
        <f t="shared" ref="F45:I45" si="14">F30+F31+F37+F39</f>
        <v>1230.6388669326002</v>
      </c>
      <c r="G45" s="28">
        <f t="shared" si="14"/>
        <v>1312.752127296902</v>
      </c>
      <c r="H45" s="28">
        <f t="shared" si="14"/>
        <v>1391.9085992928628</v>
      </c>
      <c r="I45" s="28">
        <f t="shared" si="14"/>
        <v>1472.4911083035918</v>
      </c>
    </row>
    <row r="46" spans="1:9">
      <c r="B46" s="60"/>
      <c r="C46" s="60"/>
      <c r="D46" s="60"/>
      <c r="E46" s="60"/>
      <c r="F46" s="60"/>
      <c r="G46" s="60"/>
      <c r="H46" s="60"/>
      <c r="I46" s="60"/>
    </row>
    <row r="47" spans="1:9">
      <c r="A47" s="61"/>
      <c r="B47" s="62"/>
      <c r="C47" s="62"/>
      <c r="D47" s="62"/>
      <c r="E47" s="62"/>
      <c r="F47" s="62"/>
      <c r="G47" s="62"/>
      <c r="H47" s="62"/>
      <c r="I47" s="62"/>
    </row>
    <row r="48" spans="1:9">
      <c r="A48" s="1"/>
    </row>
    <row r="49" spans="1:9">
      <c r="A49" s="43" t="s">
        <v>135</v>
      </c>
      <c r="B49" s="44"/>
      <c r="C49" s="44"/>
      <c r="D49" s="44"/>
      <c r="E49" s="44"/>
      <c r="F49" s="44"/>
      <c r="G49" s="44"/>
      <c r="H49" s="44"/>
      <c r="I49" s="44"/>
    </row>
    <row r="51" spans="1:9">
      <c r="A51" s="43" t="s">
        <v>136</v>
      </c>
      <c r="B51" s="44"/>
      <c r="C51" s="44"/>
      <c r="D51" s="44"/>
      <c r="E51" s="44"/>
      <c r="F51" s="44"/>
      <c r="G51" s="44"/>
      <c r="H51" s="44"/>
      <c r="I51" s="44"/>
    </row>
    <row r="52" spans="1:9">
      <c r="A52" s="1" t="s">
        <v>137</v>
      </c>
      <c r="B52" s="32">
        <f>B27</f>
        <v>1065.3</v>
      </c>
      <c r="C52" s="32">
        <f t="shared" ref="C52:I52" si="15">C27</f>
        <v>1180.7000000000007</v>
      </c>
      <c r="D52" s="32">
        <f t="shared" si="15"/>
        <v>1514.1000000000001</v>
      </c>
      <c r="E52" s="32">
        <f t="shared" si="15"/>
        <v>1603.6675290000005</v>
      </c>
      <c r="F52" s="32">
        <f t="shared" si="15"/>
        <v>1727.2824847200006</v>
      </c>
      <c r="G52" s="32">
        <f t="shared" si="15"/>
        <v>1851.4585941183007</v>
      </c>
      <c r="H52" s="32">
        <f t="shared" si="15"/>
        <v>1971.862086051176</v>
      </c>
      <c r="I52" s="32">
        <f t="shared" si="15"/>
        <v>2089.9571230729225</v>
      </c>
    </row>
    <row r="53" spans="1:9">
      <c r="A53" s="47" t="s">
        <v>148</v>
      </c>
      <c r="B53" s="32">
        <f>B29</f>
        <v>291.03556701030925</v>
      </c>
      <c r="C53" s="32">
        <f t="shared" ref="C53:I53" si="16">C29</f>
        <v>347.4120963277357</v>
      </c>
      <c r="D53" s="32">
        <f t="shared" si="16"/>
        <v>450.96327077747981</v>
      </c>
      <c r="E53" s="32">
        <f t="shared" si="16"/>
        <v>473.08192105500012</v>
      </c>
      <c r="F53" s="32">
        <f t="shared" si="16"/>
        <v>509.54833299240016</v>
      </c>
      <c r="G53" s="32">
        <f t="shared" si="16"/>
        <v>546.18028526489866</v>
      </c>
      <c r="H53" s="32">
        <f t="shared" si="16"/>
        <v>581.69931538509684</v>
      </c>
      <c r="I53" s="32">
        <f t="shared" si="16"/>
        <v>616.53735130651216</v>
      </c>
    </row>
    <row r="54" spans="1:9">
      <c r="A54" s="45" t="s">
        <v>138</v>
      </c>
      <c r="B54" s="48">
        <f>B52-B53</f>
        <v>774.2644329896907</v>
      </c>
      <c r="C54" s="48">
        <f t="shared" ref="C54:I54" si="17">C52-C53</f>
        <v>833.28790367226497</v>
      </c>
      <c r="D54" s="48">
        <f t="shared" si="17"/>
        <v>1063.1367292225204</v>
      </c>
      <c r="E54" s="48">
        <f t="shared" si="17"/>
        <v>1130.5856079450004</v>
      </c>
      <c r="F54" s="48">
        <f t="shared" si="17"/>
        <v>1217.7341517276004</v>
      </c>
      <c r="G54" s="48">
        <f t="shared" si="17"/>
        <v>1305.278308853402</v>
      </c>
      <c r="H54" s="48">
        <f t="shared" si="17"/>
        <v>1390.1627706660793</v>
      </c>
      <c r="I54" s="48">
        <f t="shared" si="17"/>
        <v>1473.4197717664103</v>
      </c>
    </row>
    <row r="55" spans="1:9">
      <c r="A55" t="s">
        <v>139</v>
      </c>
      <c r="B55" s="32">
        <f>B31</f>
        <v>158</v>
      </c>
      <c r="C55" s="32">
        <f t="shared" ref="C55:I55" si="18">C31</f>
        <v>133</v>
      </c>
      <c r="D55" s="32">
        <f t="shared" si="18"/>
        <v>122.4</v>
      </c>
      <c r="E55" s="32">
        <f t="shared" si="18"/>
        <v>124.75857600000003</v>
      </c>
      <c r="F55" s="32">
        <f t="shared" si="18"/>
        <v>127.33172163000003</v>
      </c>
      <c r="G55" s="32">
        <f t="shared" si="18"/>
        <v>129.10329340920003</v>
      </c>
      <c r="H55" s="32">
        <f t="shared" si="18"/>
        <v>133.10842967064454</v>
      </c>
      <c r="I55" s="32">
        <f t="shared" si="18"/>
        <v>136.5135290343122</v>
      </c>
    </row>
    <row r="56" spans="1:9">
      <c r="A56" s="45" t="s">
        <v>140</v>
      </c>
      <c r="B56" s="48">
        <f>B54+B55</f>
        <v>932.2644329896907</v>
      </c>
      <c r="C56" s="48">
        <f t="shared" ref="C56:I56" si="19">C54+C55</f>
        <v>966.28790367226497</v>
      </c>
      <c r="D56" s="48">
        <f t="shared" si="19"/>
        <v>1185.5367292225205</v>
      </c>
      <c r="E56" s="48">
        <f t="shared" si="19"/>
        <v>1255.3441839450004</v>
      </c>
      <c r="F56" s="48">
        <f t="shared" si="19"/>
        <v>1345.0658733576004</v>
      </c>
      <c r="G56" s="48">
        <f t="shared" si="19"/>
        <v>1434.381602262602</v>
      </c>
      <c r="H56" s="48">
        <f t="shared" si="19"/>
        <v>1523.2712003367237</v>
      </c>
      <c r="I56" s="48">
        <f t="shared" si="19"/>
        <v>1609.9333008007225</v>
      </c>
    </row>
    <row r="57" spans="1:9">
      <c r="A57" t="s">
        <v>141</v>
      </c>
      <c r="B57" s="32">
        <f>B37</f>
        <v>-28.600000000000033</v>
      </c>
      <c r="C57" s="32">
        <f t="shared" ref="C57:I57" si="20">C37</f>
        <v>-176.39999999999998</v>
      </c>
      <c r="D57" s="32">
        <f t="shared" si="20"/>
        <v>428.60000000000008</v>
      </c>
      <c r="E57" s="32">
        <f t="shared" si="20"/>
        <v>-37.351780000000048</v>
      </c>
      <c r="F57" s="32">
        <f t="shared" si="20"/>
        <v>-31.384579274999993</v>
      </c>
      <c r="G57" s="32">
        <f t="shared" si="20"/>
        <v>-36.538667946000004</v>
      </c>
      <c r="H57" s="32">
        <f t="shared" si="20"/>
        <v>-41.591799638077511</v>
      </c>
      <c r="I57" s="32">
        <f t="shared" si="20"/>
        <v>-46.433173140922513</v>
      </c>
    </row>
    <row r="58" spans="1:9" ht="17" thickBot="1">
      <c r="A58" s="47" t="s">
        <v>149</v>
      </c>
      <c r="B58" s="32">
        <f>B39</f>
        <v>-45</v>
      </c>
      <c r="C58" s="32">
        <f t="shared" ref="C58:I58" si="21">C39</f>
        <v>-60.9</v>
      </c>
      <c r="D58" s="32">
        <f t="shared" si="21"/>
        <v>-71</v>
      </c>
      <c r="E58" s="32">
        <f t="shared" si="21"/>
        <v>-77.97411000000001</v>
      </c>
      <c r="F58" s="32">
        <f t="shared" si="21"/>
        <v>-83.042427150000023</v>
      </c>
      <c r="G58" s="32">
        <f t="shared" si="21"/>
        <v>-85.090807019700037</v>
      </c>
      <c r="H58" s="32">
        <f t="shared" si="21"/>
        <v>-89.77080140578353</v>
      </c>
      <c r="I58" s="32">
        <f t="shared" si="21"/>
        <v>-91.009019356208128</v>
      </c>
    </row>
    <row r="59" spans="1:9" ht="17" thickBot="1">
      <c r="A59" s="46" t="s">
        <v>142</v>
      </c>
      <c r="B59" s="49">
        <f>B56+B57+B58</f>
        <v>858.66443298969068</v>
      </c>
      <c r="C59" s="49">
        <f t="shared" ref="C59:I59" si="22">C56+C57+C58</f>
        <v>728.98790367226502</v>
      </c>
      <c r="D59" s="49">
        <f t="shared" si="22"/>
        <v>1543.1367292225207</v>
      </c>
      <c r="E59" s="49">
        <f t="shared" si="22"/>
        <v>1140.0182939450003</v>
      </c>
      <c r="F59" s="49">
        <f t="shared" si="22"/>
        <v>1230.6388669326002</v>
      </c>
      <c r="G59" s="49">
        <f t="shared" si="22"/>
        <v>1312.752127296902</v>
      </c>
      <c r="H59" s="49">
        <f t="shared" si="22"/>
        <v>1391.9085992928628</v>
      </c>
      <c r="I59" s="49">
        <f t="shared" si="22"/>
        <v>1472.4911083035918</v>
      </c>
    </row>
    <row r="60" spans="1:9">
      <c r="A60" t="s">
        <v>143</v>
      </c>
      <c r="B60" s="50" t="str">
        <f>IF(ROUND(B59-B45,4)=0,"OK","ERROR")</f>
        <v>OK</v>
      </c>
      <c r="C60" s="50" t="str">
        <f t="shared" ref="C60:I60" si="23">IF(ROUND(C59-C45,4)=0,"OK","ERROR")</f>
        <v>OK</v>
      </c>
      <c r="D60" s="50" t="str">
        <f t="shared" si="23"/>
        <v>OK</v>
      </c>
      <c r="E60" s="50" t="str">
        <f t="shared" si="23"/>
        <v>OK</v>
      </c>
      <c r="F60" s="50" t="str">
        <f t="shared" si="23"/>
        <v>OK</v>
      </c>
      <c r="G60" s="50" t="str">
        <f t="shared" si="23"/>
        <v>OK</v>
      </c>
      <c r="H60" s="50" t="str">
        <f t="shared" si="23"/>
        <v>OK</v>
      </c>
      <c r="I60" s="50" t="str">
        <f t="shared" si="23"/>
        <v>OK</v>
      </c>
    </row>
    <row r="62" spans="1:9">
      <c r="A62" s="43" t="s">
        <v>144</v>
      </c>
      <c r="B62" s="44"/>
      <c r="C62" s="44"/>
      <c r="D62" s="44"/>
      <c r="E62" s="44"/>
      <c r="F62" s="44"/>
      <c r="G62" s="44"/>
      <c r="H62" s="44"/>
      <c r="I62" s="44"/>
    </row>
    <row r="63" spans="1:9">
      <c r="A63" t="s">
        <v>145</v>
      </c>
      <c r="B63" s="32">
        <f>-'Income Statement'!B38</f>
        <v>62.4</v>
      </c>
      <c r="C63" s="32">
        <f>-'Income Statement'!C38</f>
        <v>51.5</v>
      </c>
      <c r="D63" s="32">
        <f>-'Income Statement'!D38</f>
        <v>52.3</v>
      </c>
      <c r="E63" s="32">
        <f>-'Income Statement'!$D$38</f>
        <v>52.3</v>
      </c>
      <c r="F63" s="32">
        <f>-'Income Statement'!$D$38</f>
        <v>52.3</v>
      </c>
      <c r="G63" s="32">
        <f>-'Income Statement'!$D$38</f>
        <v>52.3</v>
      </c>
      <c r="H63" s="32">
        <f>-'Income Statement'!$D$38</f>
        <v>52.3</v>
      </c>
      <c r="I63" s="32">
        <f>-'Income Statement'!$D$38</f>
        <v>52.3</v>
      </c>
    </row>
    <row r="64" spans="1:9" ht="17" thickBot="1">
      <c r="A64" t="s">
        <v>146</v>
      </c>
      <c r="B64" s="30">
        <f>B28</f>
        <v>0.27319587628865977</v>
      </c>
      <c r="C64" s="30">
        <f t="shared" ref="C64:I64" si="24">C28</f>
        <v>0.29424248016239135</v>
      </c>
      <c r="D64" s="30">
        <f t="shared" si="24"/>
        <v>0.2978424613813353</v>
      </c>
      <c r="E64" s="30">
        <f t="shared" si="24"/>
        <v>0.29499999999999998</v>
      </c>
      <c r="F64" s="30">
        <f t="shared" si="24"/>
        <v>0.29499999999999998</v>
      </c>
      <c r="G64" s="30">
        <f t="shared" si="24"/>
        <v>0.29499999999999998</v>
      </c>
      <c r="H64" s="30">
        <f t="shared" si="24"/>
        <v>0.29499999999999998</v>
      </c>
      <c r="I64" s="30">
        <f t="shared" si="24"/>
        <v>0.29499999999999998</v>
      </c>
    </row>
    <row r="65" spans="1:10" ht="17" thickBot="1">
      <c r="A65" s="46" t="s">
        <v>147</v>
      </c>
      <c r="B65" s="49">
        <f>B63*B64</f>
        <v>17.047422680412367</v>
      </c>
      <c r="C65" s="49">
        <f t="shared" ref="C65:I65" si="25">C63*C64</f>
        <v>15.153487728363155</v>
      </c>
      <c r="D65" s="49">
        <f t="shared" si="25"/>
        <v>15.577160730243836</v>
      </c>
      <c r="E65" s="49">
        <f t="shared" si="25"/>
        <v>15.428499999999998</v>
      </c>
      <c r="F65" s="49">
        <f t="shared" si="25"/>
        <v>15.428499999999998</v>
      </c>
      <c r="G65" s="49">
        <f t="shared" si="25"/>
        <v>15.428499999999998</v>
      </c>
      <c r="H65" s="49">
        <f t="shared" si="25"/>
        <v>15.428499999999998</v>
      </c>
      <c r="I65" s="49">
        <f t="shared" si="25"/>
        <v>15.428499999999998</v>
      </c>
    </row>
    <row r="66" spans="1:10">
      <c r="A66" s="1"/>
      <c r="B66" s="60"/>
      <c r="C66" s="60"/>
      <c r="D66" s="60"/>
      <c r="E66" s="60"/>
      <c r="F66" s="60"/>
      <c r="G66" s="60"/>
      <c r="H66" s="60"/>
      <c r="I66" s="60"/>
    </row>
    <row r="67" spans="1:10">
      <c r="A67" s="63"/>
      <c r="B67" s="64"/>
      <c r="C67" s="64"/>
      <c r="D67" s="64"/>
      <c r="E67" s="64"/>
      <c r="F67" s="64"/>
      <c r="G67" s="64"/>
      <c r="H67" s="64"/>
      <c r="I67" s="64"/>
      <c r="J67" s="58"/>
    </row>
    <row r="69" spans="1:10">
      <c r="A69" s="43" t="s">
        <v>150</v>
      </c>
      <c r="B69" s="44"/>
      <c r="C69" s="44"/>
      <c r="D69" s="44"/>
      <c r="E69" s="44"/>
      <c r="F69" s="44"/>
      <c r="G69" s="44"/>
      <c r="H69" s="44"/>
      <c r="I69" s="44"/>
    </row>
    <row r="70" spans="1:10">
      <c r="A70" s="1" t="s">
        <v>137</v>
      </c>
      <c r="B70" s="32">
        <f>B27</f>
        <v>1065.3</v>
      </c>
      <c r="C70" s="32">
        <f t="shared" ref="C70:I70" si="26">C27</f>
        <v>1180.7000000000007</v>
      </c>
      <c r="D70" s="32">
        <f t="shared" si="26"/>
        <v>1514.1000000000001</v>
      </c>
      <c r="E70" s="32">
        <f t="shared" si="26"/>
        <v>1603.6675290000005</v>
      </c>
      <c r="F70" s="32">
        <f t="shared" si="26"/>
        <v>1727.2824847200006</v>
      </c>
      <c r="G70" s="32">
        <f t="shared" si="26"/>
        <v>1851.4585941183007</v>
      </c>
      <c r="H70" s="32">
        <f t="shared" si="26"/>
        <v>1971.862086051176</v>
      </c>
      <c r="I70" s="32">
        <f t="shared" si="26"/>
        <v>2089.9571230729225</v>
      </c>
    </row>
    <row r="71" spans="1:10">
      <c r="A71" s="47" t="s">
        <v>151</v>
      </c>
      <c r="B71" s="32">
        <f>B63</f>
        <v>62.4</v>
      </c>
      <c r="C71" s="32">
        <f t="shared" ref="C71:I71" si="27">C63</f>
        <v>51.5</v>
      </c>
      <c r="D71" s="32">
        <f t="shared" si="27"/>
        <v>52.3</v>
      </c>
      <c r="E71" s="32">
        <f t="shared" si="27"/>
        <v>52.3</v>
      </c>
      <c r="F71" s="32">
        <f t="shared" si="27"/>
        <v>52.3</v>
      </c>
      <c r="G71" s="32">
        <f t="shared" si="27"/>
        <v>52.3</v>
      </c>
      <c r="H71" s="32">
        <f t="shared" si="27"/>
        <v>52.3</v>
      </c>
      <c r="I71" s="32">
        <f t="shared" si="27"/>
        <v>52.3</v>
      </c>
    </row>
    <row r="72" spans="1:10">
      <c r="A72" s="51" t="s">
        <v>152</v>
      </c>
      <c r="B72" s="48">
        <f>B70-B71</f>
        <v>1002.9</v>
      </c>
      <c r="C72" s="48">
        <f t="shared" ref="C72:I72" si="28">C70-C71</f>
        <v>1129.2000000000007</v>
      </c>
      <c r="D72" s="48">
        <f t="shared" si="28"/>
        <v>1461.8000000000002</v>
      </c>
      <c r="E72" s="48">
        <f t="shared" si="28"/>
        <v>1551.3675290000006</v>
      </c>
      <c r="F72" s="48">
        <f t="shared" si="28"/>
        <v>1674.9824847200007</v>
      </c>
      <c r="G72" s="48">
        <f t="shared" si="28"/>
        <v>1799.1585941183007</v>
      </c>
      <c r="H72" s="48">
        <f t="shared" si="28"/>
        <v>1919.562086051176</v>
      </c>
      <c r="I72" s="48">
        <f t="shared" si="28"/>
        <v>2037.6571230729226</v>
      </c>
    </row>
    <row r="73" spans="1:10">
      <c r="A73" t="s">
        <v>153</v>
      </c>
      <c r="B73" s="32">
        <f>IF(B72&gt;0,B72*B28,0)</f>
        <v>273.9881443298969</v>
      </c>
      <c r="C73" s="32">
        <f t="shared" ref="C73:I73" si="29">IF(C72&gt;0,C72*C28,0)</f>
        <v>332.25860859937251</v>
      </c>
      <c r="D73" s="32">
        <f t="shared" si="29"/>
        <v>435.386110047236</v>
      </c>
      <c r="E73" s="32">
        <f t="shared" si="29"/>
        <v>457.65342105500014</v>
      </c>
      <c r="F73" s="32">
        <f t="shared" si="29"/>
        <v>494.11983299240018</v>
      </c>
      <c r="G73" s="32">
        <f t="shared" si="29"/>
        <v>530.75178526489867</v>
      </c>
      <c r="H73" s="32">
        <f t="shared" si="29"/>
        <v>566.27081538509685</v>
      </c>
      <c r="I73" s="32">
        <f t="shared" si="29"/>
        <v>601.10885130651218</v>
      </c>
    </row>
    <row r="74" spans="1:10">
      <c r="A74" s="45" t="s">
        <v>154</v>
      </c>
      <c r="B74" s="48">
        <f>B70-B73</f>
        <v>791.31185567010311</v>
      </c>
      <c r="C74" s="48">
        <f t="shared" ref="C74:I74" si="30">C70-C73</f>
        <v>848.44139140062816</v>
      </c>
      <c r="D74" s="48">
        <f t="shared" si="30"/>
        <v>1078.713889952764</v>
      </c>
      <c r="E74" s="48">
        <f t="shared" si="30"/>
        <v>1146.0141079450004</v>
      </c>
      <c r="F74" s="48">
        <f t="shared" si="30"/>
        <v>1233.1626517276004</v>
      </c>
      <c r="G74" s="48">
        <f t="shared" si="30"/>
        <v>1320.706808853402</v>
      </c>
      <c r="H74" s="48">
        <f t="shared" si="30"/>
        <v>1405.5912706660793</v>
      </c>
      <c r="I74" s="48">
        <f t="shared" si="30"/>
        <v>1488.8482717664103</v>
      </c>
    </row>
    <row r="75" spans="1:10">
      <c r="A75" t="s">
        <v>139</v>
      </c>
      <c r="B75" s="32">
        <f>B31</f>
        <v>158</v>
      </c>
      <c r="C75" s="32">
        <f t="shared" ref="C75:I75" si="31">C31</f>
        <v>133</v>
      </c>
      <c r="D75" s="32">
        <f t="shared" si="31"/>
        <v>122.4</v>
      </c>
      <c r="E75" s="32">
        <f t="shared" si="31"/>
        <v>124.75857600000003</v>
      </c>
      <c r="F75" s="32">
        <f t="shared" si="31"/>
        <v>127.33172163000003</v>
      </c>
      <c r="G75" s="32">
        <f t="shared" si="31"/>
        <v>129.10329340920003</v>
      </c>
      <c r="H75" s="32">
        <f t="shared" si="31"/>
        <v>133.10842967064454</v>
      </c>
      <c r="I75" s="32">
        <f t="shared" si="31"/>
        <v>136.5135290343122</v>
      </c>
    </row>
    <row r="76" spans="1:10">
      <c r="A76" s="45" t="s">
        <v>140</v>
      </c>
      <c r="B76" s="48">
        <f>B74+B75</f>
        <v>949.31185567010311</v>
      </c>
      <c r="C76" s="48">
        <f t="shared" ref="C76:I76" si="32">C74+C75</f>
        <v>981.44139140062816</v>
      </c>
      <c r="D76" s="48">
        <f t="shared" si="32"/>
        <v>1201.1138899527641</v>
      </c>
      <c r="E76" s="48">
        <f t="shared" si="32"/>
        <v>1270.7726839450004</v>
      </c>
      <c r="F76" s="48">
        <f t="shared" si="32"/>
        <v>1360.4943733576004</v>
      </c>
      <c r="G76" s="48">
        <f t="shared" si="32"/>
        <v>1449.810102262602</v>
      </c>
      <c r="H76" s="48">
        <f t="shared" si="32"/>
        <v>1538.6997003367237</v>
      </c>
      <c r="I76" s="48">
        <f t="shared" si="32"/>
        <v>1625.3618008007224</v>
      </c>
    </row>
    <row r="77" spans="1:10">
      <c r="A77" s="47" t="s">
        <v>141</v>
      </c>
      <c r="B77" s="32">
        <f>B37</f>
        <v>-28.600000000000033</v>
      </c>
      <c r="C77" s="32">
        <f t="shared" ref="C77:I77" si="33">C37</f>
        <v>-176.39999999999998</v>
      </c>
      <c r="D77" s="32">
        <f t="shared" si="33"/>
        <v>428.60000000000008</v>
      </c>
      <c r="E77" s="32">
        <f t="shared" si="33"/>
        <v>-37.351780000000048</v>
      </c>
      <c r="F77" s="32">
        <f t="shared" si="33"/>
        <v>-31.384579274999993</v>
      </c>
      <c r="G77" s="32">
        <f t="shared" si="33"/>
        <v>-36.538667946000004</v>
      </c>
      <c r="H77" s="32">
        <f t="shared" si="33"/>
        <v>-41.591799638077511</v>
      </c>
      <c r="I77" s="32">
        <f t="shared" si="33"/>
        <v>-46.433173140922513</v>
      </c>
    </row>
    <row r="78" spans="1:10" ht="17" thickBot="1">
      <c r="A78" s="47" t="s">
        <v>149</v>
      </c>
      <c r="B78" s="32">
        <f>B39</f>
        <v>-45</v>
      </c>
      <c r="C78" s="32">
        <f t="shared" ref="C78:I78" si="34">C39</f>
        <v>-60.9</v>
      </c>
      <c r="D78" s="32">
        <f t="shared" si="34"/>
        <v>-71</v>
      </c>
      <c r="E78" s="32">
        <f t="shared" si="34"/>
        <v>-77.97411000000001</v>
      </c>
      <c r="F78" s="32">
        <f t="shared" si="34"/>
        <v>-83.042427150000023</v>
      </c>
      <c r="G78" s="32">
        <f t="shared" si="34"/>
        <v>-85.090807019700037</v>
      </c>
      <c r="H78" s="32">
        <f t="shared" si="34"/>
        <v>-89.77080140578353</v>
      </c>
      <c r="I78" s="32">
        <f t="shared" si="34"/>
        <v>-91.009019356208128</v>
      </c>
    </row>
    <row r="79" spans="1:10" ht="17" thickBot="1">
      <c r="A79" s="46" t="s">
        <v>155</v>
      </c>
      <c r="B79" s="49">
        <f>B76+B77+B78</f>
        <v>875.71185567010309</v>
      </c>
      <c r="C79" s="49">
        <f t="shared" ref="C79:I79" si="35">C76+C77+C78</f>
        <v>744.14139140062821</v>
      </c>
      <c r="D79" s="49">
        <f t="shared" si="35"/>
        <v>1558.7138899527642</v>
      </c>
      <c r="E79" s="49">
        <f t="shared" si="35"/>
        <v>1155.4467939450003</v>
      </c>
      <c r="F79" s="49">
        <f t="shared" si="35"/>
        <v>1246.0673669326002</v>
      </c>
      <c r="G79" s="49">
        <f t="shared" si="35"/>
        <v>1328.180627296902</v>
      </c>
      <c r="H79" s="49">
        <f t="shared" si="35"/>
        <v>1407.3370992928628</v>
      </c>
      <c r="I79" s="49">
        <f t="shared" si="35"/>
        <v>1487.9196083035918</v>
      </c>
    </row>
    <row r="80" spans="1:10">
      <c r="A80" t="s">
        <v>156</v>
      </c>
      <c r="B80" s="50" t="str">
        <f>IF(ROUND(B79-(B59+B65),4)=0,"OK","ERROR")</f>
        <v>OK</v>
      </c>
      <c r="C80" s="50" t="str">
        <f t="shared" ref="C80:I80" si="36">IF(ROUND(C79-(C59+C65),4)=0,"OK","ERROR")</f>
        <v>OK</v>
      </c>
      <c r="D80" s="50" t="str">
        <f t="shared" si="36"/>
        <v>OK</v>
      </c>
      <c r="E80" s="50" t="str">
        <f t="shared" si="36"/>
        <v>OK</v>
      </c>
      <c r="F80" s="50" t="str">
        <f t="shared" si="36"/>
        <v>OK</v>
      </c>
      <c r="G80" s="50" t="str">
        <f t="shared" si="36"/>
        <v>OK</v>
      </c>
      <c r="H80" s="50" t="str">
        <f t="shared" si="36"/>
        <v>OK</v>
      </c>
      <c r="I80" s="50" t="str">
        <f t="shared" si="36"/>
        <v>OK</v>
      </c>
    </row>
    <row r="81" spans="1:9">
      <c r="B81" s="65"/>
      <c r="C81" s="65"/>
      <c r="D81" s="65"/>
      <c r="E81" s="65"/>
      <c r="F81" s="65"/>
      <c r="G81" s="65"/>
      <c r="H81" s="65"/>
      <c r="I81" s="65"/>
    </row>
    <row r="82" spans="1:9">
      <c r="A82" s="58"/>
      <c r="B82" s="66"/>
      <c r="C82" s="66"/>
      <c r="D82" s="66"/>
      <c r="E82" s="66"/>
      <c r="F82" s="66"/>
      <c r="G82" s="66"/>
      <c r="H82" s="66"/>
      <c r="I82" s="66"/>
    </row>
    <row r="84" spans="1:9">
      <c r="A84" s="43" t="s">
        <v>157</v>
      </c>
      <c r="B84" s="44"/>
      <c r="C84" s="44"/>
      <c r="D84" s="44"/>
      <c r="E84" s="44"/>
      <c r="F84" s="44"/>
      <c r="G84" s="44"/>
      <c r="H84" s="44"/>
      <c r="I84" s="44"/>
    </row>
    <row r="85" spans="1:9">
      <c r="A85" s="43" t="s">
        <v>158</v>
      </c>
      <c r="B85" s="44"/>
      <c r="C85" s="44"/>
      <c r="D85" s="44"/>
      <c r="E85" s="44"/>
      <c r="F85" s="44"/>
      <c r="G85" s="44"/>
      <c r="H85" s="44"/>
      <c r="I85" s="44"/>
    </row>
    <row r="86" spans="1:9">
      <c r="A86" s="1" t="s">
        <v>137</v>
      </c>
      <c r="B86" s="32">
        <f>B27</f>
        <v>1065.3</v>
      </c>
      <c r="C86" s="32">
        <f t="shared" ref="C86:I86" si="37">C27</f>
        <v>1180.7000000000007</v>
      </c>
      <c r="D86" s="32">
        <f t="shared" si="37"/>
        <v>1514.1000000000001</v>
      </c>
      <c r="E86" s="32">
        <f t="shared" si="37"/>
        <v>1603.6675290000005</v>
      </c>
      <c r="F86" s="32">
        <f t="shared" si="37"/>
        <v>1727.2824847200006</v>
      </c>
      <c r="G86" s="32">
        <f t="shared" si="37"/>
        <v>1851.4585941183007</v>
      </c>
      <c r="H86" s="32">
        <f t="shared" si="37"/>
        <v>1971.862086051176</v>
      </c>
      <c r="I86" s="32">
        <f t="shared" si="37"/>
        <v>2089.9571230729225</v>
      </c>
    </row>
    <row r="87" spans="1:9">
      <c r="A87" s="47" t="s">
        <v>151</v>
      </c>
      <c r="B87" s="32">
        <f>B63</f>
        <v>62.4</v>
      </c>
      <c r="C87" s="32">
        <f t="shared" ref="C87:I87" si="38">C63</f>
        <v>51.5</v>
      </c>
      <c r="D87" s="32">
        <f t="shared" si="38"/>
        <v>52.3</v>
      </c>
      <c r="E87" s="32">
        <f t="shared" si="38"/>
        <v>52.3</v>
      </c>
      <c r="F87" s="32">
        <f t="shared" si="38"/>
        <v>52.3</v>
      </c>
      <c r="G87" s="32">
        <f t="shared" si="38"/>
        <v>52.3</v>
      </c>
      <c r="H87" s="32">
        <f t="shared" si="38"/>
        <v>52.3</v>
      </c>
      <c r="I87" s="32">
        <f t="shared" si="38"/>
        <v>52.3</v>
      </c>
    </row>
    <row r="88" spans="1:9">
      <c r="A88" s="45" t="s">
        <v>159</v>
      </c>
      <c r="B88" s="48">
        <f>B86-B87</f>
        <v>1002.9</v>
      </c>
      <c r="C88" s="48">
        <f t="shared" ref="C88:I88" si="39">C86-C87</f>
        <v>1129.2000000000007</v>
      </c>
      <c r="D88" s="48">
        <f t="shared" si="39"/>
        <v>1461.8000000000002</v>
      </c>
      <c r="E88" s="48">
        <f t="shared" si="39"/>
        <v>1551.3675290000006</v>
      </c>
      <c r="F88" s="48">
        <f t="shared" si="39"/>
        <v>1674.9824847200007</v>
      </c>
      <c r="G88" s="48">
        <f t="shared" si="39"/>
        <v>1799.1585941183007</v>
      </c>
      <c r="H88" s="48">
        <f t="shared" si="39"/>
        <v>1919.562086051176</v>
      </c>
      <c r="I88" s="48">
        <f t="shared" si="39"/>
        <v>2037.6571230729226</v>
      </c>
    </row>
    <row r="89" spans="1:9">
      <c r="A89" s="47" t="s">
        <v>160</v>
      </c>
      <c r="B89" s="32">
        <f>IF(B88&gt;0,B88*B28,0)</f>
        <v>273.9881443298969</v>
      </c>
      <c r="C89" s="32">
        <f t="shared" ref="C89:I89" si="40">IF(C88&gt;0,C88*C28,0)</f>
        <v>332.25860859937251</v>
      </c>
      <c r="D89" s="32">
        <f>IF(D88&gt;0,D88*D28,0)</f>
        <v>435.386110047236</v>
      </c>
      <c r="E89" s="32">
        <f t="shared" si="40"/>
        <v>457.65342105500014</v>
      </c>
      <c r="F89" s="32">
        <f t="shared" si="40"/>
        <v>494.11983299240018</v>
      </c>
      <c r="G89" s="32">
        <f t="shared" si="40"/>
        <v>530.75178526489867</v>
      </c>
      <c r="H89" s="32">
        <f t="shared" si="40"/>
        <v>566.27081538509685</v>
      </c>
      <c r="I89" s="32">
        <f t="shared" si="40"/>
        <v>601.10885130651218</v>
      </c>
    </row>
    <row r="90" spans="1:9">
      <c r="A90" s="45" t="s">
        <v>161</v>
      </c>
      <c r="B90" s="48">
        <f>B88-B89</f>
        <v>728.91185567010302</v>
      </c>
      <c r="C90" s="48">
        <f t="shared" ref="C90:I90" si="41">C88-C89</f>
        <v>796.94139140062816</v>
      </c>
      <c r="D90" s="48">
        <f t="shared" si="41"/>
        <v>1026.4138899527643</v>
      </c>
      <c r="E90" s="48">
        <f t="shared" si="41"/>
        <v>1093.7141079450005</v>
      </c>
      <c r="F90" s="48">
        <f t="shared" si="41"/>
        <v>1180.8626517276005</v>
      </c>
      <c r="G90" s="48">
        <f t="shared" si="41"/>
        <v>1268.406808853402</v>
      </c>
      <c r="H90" s="48">
        <f t="shared" si="41"/>
        <v>1353.2912706660791</v>
      </c>
      <c r="I90" s="48">
        <f t="shared" si="41"/>
        <v>1436.5482717664104</v>
      </c>
    </row>
    <row r="91" spans="1:9">
      <c r="A91" t="s">
        <v>139</v>
      </c>
      <c r="B91" s="32">
        <f>B31</f>
        <v>158</v>
      </c>
      <c r="C91" s="32">
        <f t="shared" ref="C91:I91" si="42">C31</f>
        <v>133</v>
      </c>
      <c r="D91" s="32">
        <f t="shared" si="42"/>
        <v>122.4</v>
      </c>
      <c r="E91" s="32">
        <f t="shared" si="42"/>
        <v>124.75857600000003</v>
      </c>
      <c r="F91" s="32">
        <f t="shared" si="42"/>
        <v>127.33172163000003</v>
      </c>
      <c r="G91" s="32">
        <f t="shared" si="42"/>
        <v>129.10329340920003</v>
      </c>
      <c r="H91" s="32">
        <f t="shared" si="42"/>
        <v>133.10842967064454</v>
      </c>
      <c r="I91" s="32">
        <f t="shared" si="42"/>
        <v>136.5135290343122</v>
      </c>
    </row>
    <row r="92" spans="1:9">
      <c r="A92" s="47" t="s">
        <v>149</v>
      </c>
      <c r="B92" s="32">
        <f>B39</f>
        <v>-45</v>
      </c>
      <c r="C92" s="32">
        <f t="shared" ref="C92:I92" si="43">C39</f>
        <v>-60.9</v>
      </c>
      <c r="D92" s="32">
        <f t="shared" si="43"/>
        <v>-71</v>
      </c>
      <c r="E92" s="32">
        <f t="shared" si="43"/>
        <v>-77.97411000000001</v>
      </c>
      <c r="F92" s="32">
        <f t="shared" si="43"/>
        <v>-83.042427150000023</v>
      </c>
      <c r="G92" s="32">
        <f t="shared" si="43"/>
        <v>-85.090807019700037</v>
      </c>
      <c r="H92" s="32">
        <f t="shared" si="43"/>
        <v>-89.77080140578353</v>
      </c>
      <c r="I92" s="32">
        <f t="shared" si="43"/>
        <v>-91.009019356208128</v>
      </c>
    </row>
    <row r="93" spans="1:9">
      <c r="A93" s="47" t="s">
        <v>141</v>
      </c>
      <c r="B93" s="32">
        <f>B37</f>
        <v>-28.600000000000033</v>
      </c>
      <c r="C93" s="32">
        <f t="shared" ref="C93:I93" si="44">C37</f>
        <v>-176.39999999999998</v>
      </c>
      <c r="D93" s="32">
        <f t="shared" si="44"/>
        <v>428.60000000000008</v>
      </c>
      <c r="E93" s="32">
        <f t="shared" si="44"/>
        <v>-37.351780000000048</v>
      </c>
      <c r="F93" s="32">
        <f t="shared" si="44"/>
        <v>-31.384579274999993</v>
      </c>
      <c r="G93" s="32">
        <f t="shared" si="44"/>
        <v>-36.538667946000004</v>
      </c>
      <c r="H93" s="32">
        <f t="shared" si="44"/>
        <v>-41.591799638077511</v>
      </c>
      <c r="I93" s="32">
        <f t="shared" si="44"/>
        <v>-46.433173140922513</v>
      </c>
    </row>
    <row r="94" spans="1:9" ht="17" thickBot="1">
      <c r="A94" s="47" t="s">
        <v>164</v>
      </c>
      <c r="B94" s="27">
        <v>0</v>
      </c>
      <c r="C94" s="32">
        <f>'Balance Sheet'!C39-'Balance Sheet'!B39</f>
        <v>1.7999999999999545</v>
      </c>
      <c r="D94" s="32">
        <f>'Balance Sheet'!D39-'Balance Sheet'!C39</f>
        <v>1.9000000000000909</v>
      </c>
      <c r="E94" s="27">
        <v>0</v>
      </c>
      <c r="F94" s="27">
        <v>0</v>
      </c>
      <c r="G94" s="27">
        <v>0</v>
      </c>
      <c r="H94" s="27">
        <v>0</v>
      </c>
      <c r="I94" s="27">
        <v>0</v>
      </c>
    </row>
    <row r="95" spans="1:9" ht="17" thickBot="1">
      <c r="A95" s="46" t="s">
        <v>162</v>
      </c>
      <c r="B95" s="49">
        <f>B90+B91+B92+B93+B94</f>
        <v>813.311855670103</v>
      </c>
      <c r="C95" s="49">
        <f t="shared" ref="C95:I95" si="45">C90+C91+C92+C93+C94</f>
        <v>694.44139140062816</v>
      </c>
      <c r="D95" s="49">
        <f t="shared" si="45"/>
        <v>1508.3138899527646</v>
      </c>
      <c r="E95" s="49">
        <f t="shared" si="45"/>
        <v>1103.1467939450004</v>
      </c>
      <c r="F95" s="49">
        <f t="shared" si="45"/>
        <v>1193.7673669326002</v>
      </c>
      <c r="G95" s="49">
        <f t="shared" si="45"/>
        <v>1275.880627296902</v>
      </c>
      <c r="H95" s="49">
        <f t="shared" si="45"/>
        <v>1355.0370992928626</v>
      </c>
      <c r="I95" s="49">
        <f t="shared" si="45"/>
        <v>1435.6196083035918</v>
      </c>
    </row>
    <row r="96" spans="1:9">
      <c r="A96" t="s">
        <v>163</v>
      </c>
      <c r="B96" s="50" t="str">
        <f>IF(ROUND(B95-(B45-B63*(1-B64)+B94),4)=0,"OK","ERROR")</f>
        <v>OK</v>
      </c>
      <c r="C96" s="50" t="str">
        <f t="shared" ref="C96:I96" si="46">IF(ROUND(C95-(C45-C63*(1-C64)+C94),4)=0,"OK","ERROR")</f>
        <v>OK</v>
      </c>
      <c r="D96" s="50" t="str">
        <f t="shared" si="46"/>
        <v>OK</v>
      </c>
      <c r="E96" s="50" t="str">
        <f t="shared" si="46"/>
        <v>OK</v>
      </c>
      <c r="F96" s="50" t="str">
        <f t="shared" si="46"/>
        <v>OK</v>
      </c>
      <c r="G96" s="50" t="str">
        <f t="shared" si="46"/>
        <v>OK</v>
      </c>
      <c r="H96" s="50" t="str">
        <f t="shared" si="46"/>
        <v>OK</v>
      </c>
      <c r="I96" s="50" t="str">
        <f t="shared" si="46"/>
        <v>OK</v>
      </c>
    </row>
  </sheetData>
  <phoneticPr fontId="16" type="noConversion"/>
  <pageMargins left="0.7" right="0.7" top="0.75" bottom="0.75" header="0.3" footer="0.3"/>
  <ignoredErrors>
    <ignoredError sqref="B89:I89 B54:I5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C552-4F08-1B4B-908B-1B4402970DAF}">
  <sheetPr>
    <tabColor theme="8" tint="0.79998168889431442"/>
  </sheetPr>
  <dimension ref="A1:N58"/>
  <sheetViews>
    <sheetView workbookViewId="0">
      <selection activeCell="M14" sqref="M14"/>
    </sheetView>
  </sheetViews>
  <sheetFormatPr baseColWidth="10" defaultRowHeight="16"/>
  <cols>
    <col min="1" max="1" width="51.6640625" customWidth="1"/>
    <col min="2" max="2" width="13.33203125" customWidth="1"/>
    <col min="3" max="3" width="3.33203125" customWidth="1"/>
    <col min="4" max="4" width="33.33203125" customWidth="1"/>
    <col min="5" max="5" width="13.33203125" customWidth="1"/>
    <col min="6" max="6" width="5.6640625" customWidth="1"/>
    <col min="7" max="7" width="30.5" customWidth="1"/>
    <col min="8" max="8" width="15.33203125" customWidth="1"/>
    <col min="9" max="9" width="6.33203125" customWidth="1"/>
    <col min="10" max="10" width="14.6640625" customWidth="1"/>
    <col min="11" max="11" width="16.33203125" customWidth="1"/>
    <col min="13" max="13" width="33.1640625" customWidth="1"/>
  </cols>
  <sheetData>
    <row r="1" spans="1:14" ht="19">
      <c r="A1" s="52" t="s">
        <v>165</v>
      </c>
      <c r="B1" s="44"/>
      <c r="C1" s="44"/>
      <c r="D1" s="44"/>
      <c r="E1" s="44"/>
      <c r="F1" s="44"/>
      <c r="G1" s="44"/>
      <c r="H1" s="44"/>
    </row>
    <row r="3" spans="1:14">
      <c r="A3" s="43" t="s">
        <v>166</v>
      </c>
      <c r="B3" s="44"/>
      <c r="D3" s="89" t="s">
        <v>286</v>
      </c>
      <c r="E3" s="44"/>
      <c r="F3" s="44"/>
      <c r="G3" s="44"/>
      <c r="H3" s="44"/>
      <c r="I3" s="44"/>
      <c r="J3" s="89"/>
      <c r="K3" s="44"/>
      <c r="M3" s="89" t="s">
        <v>290</v>
      </c>
      <c r="N3" s="44"/>
    </row>
    <row r="4" spans="1:14">
      <c r="A4" t="s">
        <v>167</v>
      </c>
      <c r="B4" s="133">
        <v>4.2999999999999997E-2</v>
      </c>
      <c r="D4" s="91" t="s">
        <v>236</v>
      </c>
      <c r="E4" s="92" t="s">
        <v>173</v>
      </c>
      <c r="F4" s="92" t="s">
        <v>287</v>
      </c>
      <c r="G4" s="92" t="s">
        <v>132</v>
      </c>
      <c r="H4" s="92" t="s">
        <v>171</v>
      </c>
      <c r="I4" s="94" t="s">
        <v>294</v>
      </c>
      <c r="J4" s="95" t="s">
        <v>295</v>
      </c>
      <c r="K4" s="95" t="s">
        <v>296</v>
      </c>
      <c r="M4" s="90" t="s">
        <v>364</v>
      </c>
      <c r="N4" s="93">
        <f>H10</f>
        <v>0.80382882530021893</v>
      </c>
    </row>
    <row r="5" spans="1:14">
      <c r="A5" s="90" t="s">
        <v>168</v>
      </c>
      <c r="B5" s="123">
        <v>4.5999999999999999E-2</v>
      </c>
      <c r="C5" s="90"/>
      <c r="D5" s="90" t="s">
        <v>242</v>
      </c>
      <c r="E5" s="124">
        <v>0.75</v>
      </c>
      <c r="F5" s="124">
        <f>J5/K5</f>
        <v>3.4000000000000002E-2</v>
      </c>
      <c r="G5" s="125">
        <v>0.24</v>
      </c>
      <c r="H5" s="126">
        <f>E5/(1+(1-G5)*F5)</f>
        <v>0.73110816501598686</v>
      </c>
      <c r="I5" s="96" t="s">
        <v>297</v>
      </c>
      <c r="J5" s="127">
        <v>3.4</v>
      </c>
      <c r="K5" s="127">
        <v>100</v>
      </c>
      <c r="L5" s="90"/>
      <c r="M5" s="90" t="s">
        <v>365</v>
      </c>
      <c r="N5" s="126">
        <f>H11</f>
        <v>0.82465277777777768</v>
      </c>
    </row>
    <row r="6" spans="1:14">
      <c r="A6" s="90" t="s">
        <v>293</v>
      </c>
      <c r="B6" s="124">
        <f>N9</f>
        <v>0.86191994103653824</v>
      </c>
      <c r="C6" s="90"/>
      <c r="D6" s="90" t="s">
        <v>243</v>
      </c>
      <c r="E6" s="124">
        <v>0.95</v>
      </c>
      <c r="F6" s="124">
        <f>J6/K6</f>
        <v>0.2</v>
      </c>
      <c r="G6" s="125">
        <v>0.24</v>
      </c>
      <c r="H6" s="126">
        <f t="shared" ref="H6:H9" si="0">E6/(1+(1-G6)*F6)</f>
        <v>0.82465277777777768</v>
      </c>
      <c r="I6" s="96" t="s">
        <v>297</v>
      </c>
      <c r="J6" s="127">
        <v>19</v>
      </c>
      <c r="K6" s="127">
        <v>95</v>
      </c>
      <c r="L6" s="90"/>
      <c r="M6" s="90" t="s">
        <v>291</v>
      </c>
      <c r="N6" s="126">
        <f>B9/B11</f>
        <v>6.4101190106893927E-2</v>
      </c>
    </row>
    <row r="7" spans="1:14">
      <c r="A7" s="90" t="s">
        <v>169</v>
      </c>
      <c r="B7" s="123">
        <v>0.01</v>
      </c>
      <c r="C7" s="90"/>
      <c r="D7" s="90" t="s">
        <v>244</v>
      </c>
      <c r="E7" s="124">
        <v>1</v>
      </c>
      <c r="F7" s="124">
        <f>J7/K7</f>
        <v>0.21911111111111109</v>
      </c>
      <c r="G7" s="125">
        <v>0.24</v>
      </c>
      <c r="H7" s="126">
        <f t="shared" si="0"/>
        <v>0.85724735967813215</v>
      </c>
      <c r="I7" s="96" t="s">
        <v>297</v>
      </c>
      <c r="J7" s="127">
        <v>9.86</v>
      </c>
      <c r="K7" s="127">
        <v>45</v>
      </c>
      <c r="L7" s="90"/>
      <c r="M7" s="90" t="s">
        <v>292</v>
      </c>
      <c r="N7" s="128">
        <f>B8</f>
        <v>0.29499999999999998</v>
      </c>
    </row>
    <row r="8" spans="1:14">
      <c r="A8" s="90" t="s">
        <v>132</v>
      </c>
      <c r="B8" s="128">
        <f>Assumptions!B7</f>
        <v>0.29499999999999998</v>
      </c>
      <c r="C8" s="90"/>
      <c r="D8" s="90" t="s">
        <v>245</v>
      </c>
      <c r="E8" s="124">
        <v>0.8</v>
      </c>
      <c r="F8" s="124">
        <f>J8/K8</f>
        <v>0.10465116279069768</v>
      </c>
      <c r="G8" s="125">
        <v>0.26</v>
      </c>
      <c r="H8" s="126">
        <f t="shared" si="0"/>
        <v>0.74249946039283399</v>
      </c>
      <c r="I8" s="96" t="s">
        <v>298</v>
      </c>
      <c r="J8" s="127">
        <v>4.5</v>
      </c>
      <c r="K8" s="127">
        <v>43</v>
      </c>
      <c r="L8" s="90"/>
      <c r="M8" s="91" t="s">
        <v>366</v>
      </c>
      <c r="N8" s="129">
        <f>N4*(1+(1-N7)*N6)</f>
        <v>0.84015492626271815</v>
      </c>
    </row>
    <row r="9" spans="1:14">
      <c r="A9" s="90" t="s">
        <v>358</v>
      </c>
      <c r="B9" s="130">
        <f>'Balance Sheet'!D39</f>
        <v>1442.9</v>
      </c>
      <c r="C9" s="90"/>
      <c r="D9" s="90" t="s">
        <v>246</v>
      </c>
      <c r="E9" s="124">
        <v>0.95</v>
      </c>
      <c r="F9" s="124">
        <f>J9/K9</f>
        <v>0.13333333333333333</v>
      </c>
      <c r="G9" s="125">
        <v>0.25</v>
      </c>
      <c r="H9" s="126">
        <f t="shared" si="0"/>
        <v>0.86363636363636354</v>
      </c>
      <c r="I9" s="96" t="s">
        <v>299</v>
      </c>
      <c r="J9" s="127">
        <v>8</v>
      </c>
      <c r="K9" s="127">
        <v>60</v>
      </c>
      <c r="L9" s="90"/>
      <c r="M9" s="90" t="s">
        <v>367</v>
      </c>
      <c r="N9" s="126">
        <f>N5*(1+(1-N7)*N6)</f>
        <v>0.86191994103653824</v>
      </c>
    </row>
    <row r="10" spans="1:14">
      <c r="A10" s="90" t="s">
        <v>356</v>
      </c>
      <c r="B10" s="131">
        <v>26000</v>
      </c>
      <c r="C10" s="90"/>
      <c r="D10" s="91" t="s">
        <v>288</v>
      </c>
      <c r="E10" s="90"/>
      <c r="F10" s="90"/>
      <c r="G10" s="90"/>
      <c r="H10" s="132">
        <f>AVERAGE(H5:H9)</f>
        <v>0.80382882530021893</v>
      </c>
      <c r="I10" s="90"/>
      <c r="J10" s="90"/>
      <c r="K10" s="90"/>
      <c r="L10" s="90"/>
      <c r="M10" s="90"/>
      <c r="N10" s="90"/>
    </row>
    <row r="11" spans="1:14">
      <c r="A11" s="90" t="s">
        <v>170</v>
      </c>
      <c r="B11" s="130">
        <f>'DCF Valuation'!B44-'DCF Valuation'!B49</f>
        <v>22509.72248087512</v>
      </c>
      <c r="C11" s="90"/>
      <c r="D11" s="90" t="s">
        <v>289</v>
      </c>
      <c r="E11" s="90"/>
      <c r="F11" s="90"/>
      <c r="G11" s="90"/>
      <c r="H11" s="126">
        <f>MEDIAN(H5:H9)</f>
        <v>0.82465277777777768</v>
      </c>
      <c r="I11" s="90"/>
      <c r="J11" s="90"/>
      <c r="K11" s="90"/>
      <c r="L11" s="90"/>
      <c r="M11" s="90"/>
      <c r="N11" s="90"/>
    </row>
    <row r="12" spans="1:14">
      <c r="A12" s="90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</row>
    <row r="13" spans="1:14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</row>
    <row r="15" spans="1:14">
      <c r="A15" s="43" t="s">
        <v>134</v>
      </c>
    </row>
    <row r="16" spans="1:14">
      <c r="A16" s="43" t="s">
        <v>172</v>
      </c>
    </row>
    <row r="17" spans="1:2">
      <c r="A17" t="s">
        <v>167</v>
      </c>
      <c r="B17" s="54">
        <f>B4</f>
        <v>4.2999999999999997E-2</v>
      </c>
    </row>
    <row r="18" spans="1:2">
      <c r="A18" t="s">
        <v>173</v>
      </c>
      <c r="B18" s="53">
        <f>B6</f>
        <v>0.86191994103653824</v>
      </c>
    </row>
    <row r="19" spans="1:2" ht="17" thickBot="1">
      <c r="A19" t="s">
        <v>168</v>
      </c>
      <c r="B19" s="54">
        <f>B5</f>
        <v>4.5999999999999999E-2</v>
      </c>
    </row>
    <row r="20" spans="1:2" ht="17" thickBot="1">
      <c r="A20" s="46" t="s">
        <v>174</v>
      </c>
      <c r="B20" s="55">
        <f>B17+B18*B19</f>
        <v>8.2648317287680753E-2</v>
      </c>
    </row>
    <row r="22" spans="1:2">
      <c r="A22" s="43" t="s">
        <v>175</v>
      </c>
    </row>
    <row r="23" spans="1:2">
      <c r="A23" t="s">
        <v>167</v>
      </c>
      <c r="B23" s="54">
        <f>B4</f>
        <v>4.2999999999999997E-2</v>
      </c>
    </row>
    <row r="24" spans="1:2">
      <c r="A24" t="s">
        <v>176</v>
      </c>
      <c r="B24" s="54">
        <f>B7</f>
        <v>0.01</v>
      </c>
    </row>
    <row r="25" spans="1:2">
      <c r="A25" s="56" t="s">
        <v>177</v>
      </c>
      <c r="B25" s="98">
        <f>B23+B24</f>
        <v>5.2999999999999999E-2</v>
      </c>
    </row>
    <row r="26" spans="1:2">
      <c r="A26" t="s">
        <v>178</v>
      </c>
      <c r="B26" s="54">
        <f>B25*B8</f>
        <v>1.5635E-2</v>
      </c>
    </row>
    <row r="27" spans="1:2">
      <c r="A27" s="56" t="s">
        <v>179</v>
      </c>
      <c r="B27" s="99">
        <f>B25-B26</f>
        <v>3.7364999999999995E-2</v>
      </c>
    </row>
    <row r="29" spans="1:2">
      <c r="A29" s="43" t="s">
        <v>180</v>
      </c>
    </row>
    <row r="30" spans="1:2">
      <c r="A30" t="s">
        <v>181</v>
      </c>
      <c r="B30" s="54">
        <f>B11/(B11+B9)</f>
        <v>0.9397602495863624</v>
      </c>
    </row>
    <row r="31" spans="1:2">
      <c r="A31" t="s">
        <v>182</v>
      </c>
      <c r="B31" s="54">
        <f>B9/(B11+B9)</f>
        <v>6.0239750413637508E-2</v>
      </c>
    </row>
    <row r="33" spans="1:13" ht="17" thickBot="1">
      <c r="A33" s="43" t="s">
        <v>183</v>
      </c>
    </row>
    <row r="34" spans="1:13" ht="17" thickBot="1">
      <c r="A34" s="46" t="s">
        <v>184</v>
      </c>
      <c r="B34" s="55">
        <f>B30*B20+B31*B27</f>
        <v>7.992046155636931E-2</v>
      </c>
    </row>
    <row r="36" spans="1:13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</row>
    <row r="39" spans="1:13">
      <c r="A39" s="43" t="s">
        <v>185</v>
      </c>
    </row>
    <row r="40" spans="1:13">
      <c r="A40" s="100"/>
    </row>
    <row r="41" spans="1:13">
      <c r="A41" s="100"/>
    </row>
    <row r="42" spans="1:13">
      <c r="A42" s="43" t="s">
        <v>167</v>
      </c>
      <c r="B42" s="54">
        <f>B4</f>
        <v>4.2999999999999997E-2</v>
      </c>
    </row>
    <row r="43" spans="1:13">
      <c r="A43" s="43" t="s">
        <v>186</v>
      </c>
      <c r="B43" s="53">
        <f>N5</f>
        <v>0.82465277777777768</v>
      </c>
    </row>
    <row r="44" spans="1:13" ht="17" thickBot="1">
      <c r="A44" s="43" t="s">
        <v>300</v>
      </c>
      <c r="B44" s="54">
        <f>B5</f>
        <v>4.5999999999999999E-2</v>
      </c>
    </row>
    <row r="45" spans="1:13" ht="17" thickBot="1">
      <c r="A45" s="46" t="s">
        <v>187</v>
      </c>
      <c r="B45" s="55">
        <f>B42+B43*B44</f>
        <v>8.0934027777777778E-2</v>
      </c>
    </row>
    <row r="47" spans="1:13">
      <c r="A47" s="43" t="s">
        <v>188</v>
      </c>
      <c r="B47" s="101">
        <f>B25</f>
        <v>5.2999999999999999E-2</v>
      </c>
    </row>
    <row r="48" spans="1:13">
      <c r="A48" s="100"/>
      <c r="B48" s="54"/>
    </row>
    <row r="49" spans="1:13">
      <c r="A49" s="97"/>
      <c r="B49" s="97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</row>
    <row r="51" spans="1:13">
      <c r="A51" s="43" t="s">
        <v>189</v>
      </c>
    </row>
    <row r="52" spans="1:13" ht="17" thickBot="1">
      <c r="A52" t="s">
        <v>174</v>
      </c>
      <c r="B52" s="54">
        <f>B20</f>
        <v>8.2648317287680753E-2</v>
      </c>
    </row>
    <row r="53" spans="1:13" ht="17" thickBot="1">
      <c r="A53" s="46" t="s">
        <v>190</v>
      </c>
      <c r="B53" s="55">
        <f>B30*B52+B31*B25</f>
        <v>8.0862310054086534E-2</v>
      </c>
    </row>
    <row r="55" spans="1:13">
      <c r="A55" s="97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</row>
    <row r="57" spans="1:13" ht="17" thickBot="1">
      <c r="A57" s="43" t="s">
        <v>191</v>
      </c>
    </row>
    <row r="58" spans="1:13" ht="17" thickBot="1">
      <c r="A58" s="46" t="s">
        <v>362</v>
      </c>
      <c r="B58" s="55">
        <f>B20</f>
        <v>8.2648317287680753E-2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F9DB-B0DC-BD49-A7D5-6CDC414EB825}">
  <sheetPr>
    <tabColor rgb="FFFF0000"/>
  </sheetPr>
  <dimension ref="A1:H103"/>
  <sheetViews>
    <sheetView workbookViewId="0">
      <selection activeCell="A100" sqref="A100"/>
    </sheetView>
  </sheetViews>
  <sheetFormatPr baseColWidth="10" defaultRowHeight="16"/>
  <cols>
    <col min="1" max="1" width="89.6640625" customWidth="1"/>
    <col min="2" max="8" width="13" customWidth="1"/>
  </cols>
  <sheetData>
    <row r="1" spans="1:8" ht="19">
      <c r="A1" s="37" t="s">
        <v>359</v>
      </c>
    </row>
    <row r="2" spans="1:8">
      <c r="A2" s="57"/>
    </row>
    <row r="4" spans="1:8">
      <c r="A4" s="91" t="s">
        <v>192</v>
      </c>
      <c r="B4" s="134">
        <v>2.5000000000000001E-2</v>
      </c>
      <c r="C4" s="90"/>
      <c r="D4" s="90"/>
      <c r="E4" s="90"/>
      <c r="F4" s="90"/>
      <c r="G4" s="90"/>
      <c r="H4" s="90"/>
    </row>
    <row r="5" spans="1:8">
      <c r="A5" s="90"/>
      <c r="B5" s="90"/>
      <c r="C5" s="90"/>
      <c r="D5" s="90"/>
      <c r="E5" s="90"/>
      <c r="F5" s="90"/>
      <c r="G5" s="90"/>
      <c r="H5" s="90"/>
    </row>
    <row r="6" spans="1:8">
      <c r="A6" s="42" t="s">
        <v>193</v>
      </c>
      <c r="B6" s="148"/>
      <c r="C6" s="148"/>
      <c r="D6" s="148"/>
      <c r="E6" s="148"/>
      <c r="F6" s="148"/>
      <c r="G6" s="148"/>
      <c r="H6" s="148"/>
    </row>
    <row r="7" spans="1:8">
      <c r="A7" s="42" t="s">
        <v>194</v>
      </c>
      <c r="B7" s="149" t="s">
        <v>195</v>
      </c>
      <c r="C7" s="149" t="s">
        <v>196</v>
      </c>
      <c r="D7" s="149" t="s">
        <v>197</v>
      </c>
      <c r="E7" s="149" t="s">
        <v>198</v>
      </c>
      <c r="F7" s="149" t="s">
        <v>199</v>
      </c>
      <c r="G7" s="149" t="s">
        <v>200</v>
      </c>
      <c r="H7" s="149" t="s">
        <v>201</v>
      </c>
    </row>
    <row r="8" spans="1:8">
      <c r="A8" s="90" t="s">
        <v>184</v>
      </c>
      <c r="B8" s="135">
        <f>'Cost of Equity'!B34</f>
        <v>7.992046155636931E-2</v>
      </c>
      <c r="C8" s="90"/>
      <c r="D8" s="90"/>
      <c r="E8" s="90"/>
      <c r="F8" s="90"/>
      <c r="G8" s="90"/>
      <c r="H8" s="90"/>
    </row>
    <row r="9" spans="1:8">
      <c r="A9" s="90" t="s">
        <v>202</v>
      </c>
      <c r="B9" s="90"/>
      <c r="C9" s="136">
        <f>1/(1+$B$8)</f>
        <v>0.92599412234379852</v>
      </c>
      <c r="D9" s="136">
        <f>C9/(1+$B$8)</f>
        <v>0.85746511461526165</v>
      </c>
      <c r="E9" s="136">
        <f t="shared" ref="E9:G9" si="0">D9/(1+$B$8)</f>
        <v>0.79400765624858383</v>
      </c>
      <c r="F9" s="136">
        <f t="shared" si="0"/>
        <v>0.73524642278216379</v>
      </c>
      <c r="G9" s="136">
        <f t="shared" si="0"/>
        <v>0.68083386597058715</v>
      </c>
      <c r="H9" s="136">
        <f>G9</f>
        <v>0.68083386597058715</v>
      </c>
    </row>
    <row r="10" spans="1:8">
      <c r="A10" s="90" t="s">
        <v>203</v>
      </c>
      <c r="B10" s="90"/>
      <c r="C10" s="137">
        <f>'Cash Flow Calculation'!E59</f>
        <v>1140.0182939450003</v>
      </c>
      <c r="D10" s="137">
        <f>'Cash Flow Calculation'!F59</f>
        <v>1230.6388669326002</v>
      </c>
      <c r="E10" s="137">
        <f>'Cash Flow Calculation'!G59</f>
        <v>1312.752127296902</v>
      </c>
      <c r="F10" s="137">
        <f>'Cash Flow Calculation'!H59</f>
        <v>1391.9085992928628</v>
      </c>
      <c r="G10" s="137">
        <f>'Cash Flow Calculation'!I59</f>
        <v>1472.4911083035918</v>
      </c>
      <c r="H10" s="137">
        <f>G10*(1+$B$4)</f>
        <v>1509.3033860111814</v>
      </c>
    </row>
    <row r="11" spans="1:8">
      <c r="A11" s="90" t="s">
        <v>204</v>
      </c>
      <c r="B11" s="90"/>
      <c r="C11" s="90"/>
      <c r="D11" s="90"/>
      <c r="E11" s="90"/>
      <c r="F11" s="90"/>
      <c r="G11" s="90"/>
      <c r="H11" s="137">
        <f>H10/($B$8-$B$4)</f>
        <v>27481.622390628698</v>
      </c>
    </row>
    <row r="12" spans="1:8">
      <c r="A12" s="91" t="s">
        <v>205</v>
      </c>
      <c r="B12" s="90"/>
      <c r="C12" s="138">
        <f>C10*C9</f>
        <v>1055.6502395574751</v>
      </c>
      <c r="D12" s="138">
        <f>D10*D9</f>
        <v>1055.2298970843578</v>
      </c>
      <c r="E12" s="138">
        <f t="shared" ref="E12:G12" si="1">E10*E9</f>
        <v>1042.3352398303557</v>
      </c>
      <c r="F12" s="138">
        <f t="shared" si="1"/>
        <v>1023.3958184698097</v>
      </c>
      <c r="G12" s="138">
        <f t="shared" si="1"/>
        <v>1002.521813873649</v>
      </c>
      <c r="H12" s="90"/>
    </row>
    <row r="13" spans="1:8">
      <c r="A13" s="91" t="s">
        <v>206</v>
      </c>
      <c r="B13" s="90"/>
      <c r="C13" s="90"/>
      <c r="D13" s="90"/>
      <c r="E13" s="90"/>
      <c r="F13" s="90"/>
      <c r="G13" s="90"/>
      <c r="H13" s="138">
        <f>H11*H9</f>
        <v>18710.419215355585</v>
      </c>
    </row>
    <row r="14" spans="1:8">
      <c r="A14" s="90"/>
      <c r="B14" s="90"/>
      <c r="C14" s="90"/>
      <c r="D14" s="90"/>
      <c r="E14" s="90"/>
      <c r="F14" s="90"/>
      <c r="G14" s="90"/>
      <c r="H14" s="90"/>
    </row>
    <row r="15" spans="1:8">
      <c r="A15" s="91" t="s">
        <v>207</v>
      </c>
      <c r="B15" s="139">
        <f>SUM(C12:G12)+H13</f>
        <v>23889.552224171232</v>
      </c>
      <c r="C15" s="90"/>
      <c r="D15" s="90"/>
      <c r="E15" s="140"/>
      <c r="F15" s="90"/>
      <c r="G15" s="90"/>
      <c r="H15" s="90"/>
    </row>
    <row r="16" spans="1:8">
      <c r="A16" s="91" t="s">
        <v>208</v>
      </c>
      <c r="B16" s="137">
        <f>'Balance Sheet'!D10</f>
        <v>2216.5</v>
      </c>
      <c r="C16" s="90"/>
      <c r="D16" s="90"/>
      <c r="E16" s="90"/>
      <c r="F16" s="90"/>
      <c r="G16" s="90"/>
      <c r="H16" s="90"/>
    </row>
    <row r="17" spans="1:8">
      <c r="A17" s="141" t="s">
        <v>213</v>
      </c>
      <c r="B17" s="137">
        <f>'Balance Sheet'!D11</f>
        <v>36.1</v>
      </c>
      <c r="C17" s="90"/>
      <c r="D17" s="90"/>
      <c r="E17" s="90"/>
      <c r="F17" s="90"/>
      <c r="G17" s="90"/>
      <c r="H17" s="90"/>
    </row>
    <row r="18" spans="1:8">
      <c r="A18" s="141" t="s">
        <v>214</v>
      </c>
      <c r="B18" s="137">
        <f>'Balance Sheet'!D19</f>
        <v>32.4</v>
      </c>
      <c r="C18" s="90"/>
      <c r="D18" s="90"/>
      <c r="E18" s="90"/>
      <c r="F18" s="90"/>
      <c r="G18" s="90"/>
      <c r="H18" s="90"/>
    </row>
    <row r="19" spans="1:8">
      <c r="A19" s="91" t="s">
        <v>209</v>
      </c>
      <c r="B19" s="139">
        <f>B15+SUM(B16:B18)</f>
        <v>26174.552224171232</v>
      </c>
      <c r="C19" s="90"/>
      <c r="D19" s="90"/>
      <c r="E19" s="90"/>
      <c r="F19" s="90"/>
      <c r="G19" s="90"/>
      <c r="H19" s="90"/>
    </row>
    <row r="20" spans="1:8">
      <c r="A20" s="90" t="s">
        <v>210</v>
      </c>
      <c r="B20" s="137">
        <f>'Cost of Equity'!B9</f>
        <v>1442.9</v>
      </c>
      <c r="C20" s="90"/>
      <c r="D20" s="90"/>
      <c r="E20" s="90"/>
      <c r="F20" s="90"/>
      <c r="G20" s="90"/>
      <c r="H20" s="90"/>
    </row>
    <row r="21" spans="1:8">
      <c r="A21" s="91" t="s">
        <v>211</v>
      </c>
      <c r="B21" s="142">
        <f>B19-B20</f>
        <v>24731.65222417123</v>
      </c>
      <c r="C21" s="90"/>
      <c r="D21" s="90"/>
      <c r="E21" s="90"/>
      <c r="F21" s="90"/>
      <c r="G21" s="90"/>
      <c r="H21" s="90"/>
    </row>
    <row r="22" spans="1:8">
      <c r="A22" s="141" t="s">
        <v>215</v>
      </c>
      <c r="B22" s="137">
        <v>0</v>
      </c>
      <c r="C22" s="90"/>
      <c r="D22" s="90"/>
      <c r="E22" s="90"/>
      <c r="F22" s="90"/>
      <c r="G22" s="90"/>
      <c r="H22" s="90"/>
    </row>
    <row r="23" spans="1:8">
      <c r="A23" s="91" t="s">
        <v>212</v>
      </c>
      <c r="B23" s="139">
        <f>B21-B22</f>
        <v>24731.65222417123</v>
      </c>
      <c r="C23" s="90"/>
      <c r="D23" s="90"/>
      <c r="E23" s="90"/>
      <c r="F23" s="90"/>
      <c r="G23" s="90"/>
      <c r="H23" s="90"/>
    </row>
    <row r="24" spans="1:8">
      <c r="A24" s="90"/>
      <c r="B24" s="90"/>
      <c r="C24" s="90"/>
      <c r="D24" s="90"/>
      <c r="E24" s="90"/>
      <c r="F24" s="90"/>
      <c r="G24" s="90"/>
      <c r="H24" s="90"/>
    </row>
    <row r="25" spans="1:8">
      <c r="A25" s="90"/>
      <c r="B25" s="90"/>
      <c r="C25" s="90"/>
      <c r="D25" s="90"/>
      <c r="E25" s="90"/>
      <c r="F25" s="90"/>
      <c r="G25" s="90"/>
      <c r="H25" s="90"/>
    </row>
    <row r="26" spans="1:8">
      <c r="A26" s="42" t="s">
        <v>216</v>
      </c>
      <c r="B26" s="148"/>
      <c r="C26" s="148"/>
      <c r="D26" s="148"/>
      <c r="E26" s="148"/>
      <c r="F26" s="148"/>
      <c r="G26" s="148"/>
      <c r="H26" s="148"/>
    </row>
    <row r="27" spans="1:8">
      <c r="A27" s="42" t="s">
        <v>194</v>
      </c>
      <c r="B27" s="149" t="s">
        <v>195</v>
      </c>
      <c r="C27" s="149" t="s">
        <v>196</v>
      </c>
      <c r="D27" s="149" t="s">
        <v>197</v>
      </c>
      <c r="E27" s="149" t="s">
        <v>198</v>
      </c>
      <c r="F27" s="149" t="s">
        <v>199</v>
      </c>
      <c r="G27" s="149" t="s">
        <v>200</v>
      </c>
      <c r="H27" s="149" t="s">
        <v>201</v>
      </c>
    </row>
    <row r="28" spans="1:8">
      <c r="A28" s="90" t="s">
        <v>187</v>
      </c>
      <c r="B28" s="135">
        <f>'Cost of Equity'!B45</f>
        <v>8.0934027777777778E-2</v>
      </c>
      <c r="C28" s="90"/>
      <c r="D28" s="90"/>
      <c r="E28" s="90"/>
      <c r="F28" s="90"/>
      <c r="G28" s="90"/>
      <c r="H28" s="90"/>
    </row>
    <row r="29" spans="1:8">
      <c r="A29" s="90" t="s">
        <v>202</v>
      </c>
      <c r="B29" s="90"/>
      <c r="C29" s="136">
        <f>1/(1+$B$28)</f>
        <v>0.92512583959988315</v>
      </c>
      <c r="D29" s="136">
        <f>C29/(1+$B$28)</f>
        <v>0.85585781909538872</v>
      </c>
      <c r="E29" s="136">
        <f t="shared" ref="E29:G29" si="2">D29/(1+$B$28)</f>
        <v>0.79177618346874634</v>
      </c>
      <c r="F29" s="136">
        <f t="shared" si="2"/>
        <v>0.7324926065067151</v>
      </c>
      <c r="G29" s="136">
        <f t="shared" si="2"/>
        <v>0.67764783759523162</v>
      </c>
      <c r="H29" s="136">
        <f>G29</f>
        <v>0.67764783759523162</v>
      </c>
    </row>
    <row r="30" spans="1:8">
      <c r="A30" s="90" t="s">
        <v>203</v>
      </c>
      <c r="B30" s="90"/>
      <c r="C30" s="137">
        <f>'Cash Flow Calculation'!E59</f>
        <v>1140.0182939450003</v>
      </c>
      <c r="D30" s="137">
        <f>'Cash Flow Calculation'!F59</f>
        <v>1230.6388669326002</v>
      </c>
      <c r="E30" s="137">
        <f>'Cash Flow Calculation'!G59</f>
        <v>1312.752127296902</v>
      </c>
      <c r="F30" s="137">
        <f>'Cash Flow Calculation'!H59</f>
        <v>1391.9085992928628</v>
      </c>
      <c r="G30" s="137">
        <f>'Cash Flow Calculation'!I59</f>
        <v>1472.4911083035918</v>
      </c>
      <c r="H30" s="137">
        <f>G30*(1+$B$4)</f>
        <v>1509.3033860111814</v>
      </c>
    </row>
    <row r="31" spans="1:8">
      <c r="A31" s="90" t="s">
        <v>204</v>
      </c>
      <c r="B31" s="90"/>
      <c r="C31" s="90"/>
      <c r="D31" s="90"/>
      <c r="E31" s="90"/>
      <c r="F31" s="90"/>
      <c r="G31" s="90"/>
      <c r="H31" s="137">
        <f>H30/($B$28-$B$4)</f>
        <v>26983.63493520518</v>
      </c>
    </row>
    <row r="32" spans="1:8">
      <c r="A32" s="91" t="s">
        <v>205</v>
      </c>
      <c r="B32" s="90"/>
      <c r="C32" s="138">
        <f>C30*C29</f>
        <v>1054.6603813450947</v>
      </c>
      <c r="D32" s="138">
        <f>D30*D29</f>
        <v>1053.2518967469555</v>
      </c>
      <c r="E32" s="138">
        <f t="shared" ref="E32:G32" si="3">E30*E29</f>
        <v>1039.4058691916189</v>
      </c>
      <c r="F32" s="138">
        <f t="shared" si="3"/>
        <v>1019.56275791514</v>
      </c>
      <c r="G32" s="138">
        <f t="shared" si="3"/>
        <v>997.83041542013495</v>
      </c>
      <c r="H32" s="90"/>
    </row>
    <row r="33" spans="1:8">
      <c r="A33" s="91" t="s">
        <v>206</v>
      </c>
      <c r="B33" s="90"/>
      <c r="C33" s="90"/>
      <c r="D33" s="90"/>
      <c r="E33" s="90"/>
      <c r="F33" s="90"/>
      <c r="G33" s="90"/>
      <c r="H33" s="138">
        <f>H31*H29</f>
        <v>18285.401864300937</v>
      </c>
    </row>
    <row r="34" spans="1:8">
      <c r="A34" s="90"/>
      <c r="B34" s="90"/>
      <c r="C34" s="90"/>
      <c r="D34" s="90"/>
      <c r="E34" s="90"/>
      <c r="F34" s="90"/>
      <c r="G34" s="90"/>
      <c r="H34" s="90"/>
    </row>
    <row r="35" spans="1:8">
      <c r="A35" s="90" t="s">
        <v>177</v>
      </c>
      <c r="B35" s="135">
        <f>'Cost of Equity'!B47</f>
        <v>5.2999999999999999E-2</v>
      </c>
      <c r="C35" s="90"/>
      <c r="D35" s="90"/>
      <c r="E35" s="90"/>
      <c r="F35" s="90"/>
      <c r="G35" s="90"/>
      <c r="H35" s="90"/>
    </row>
    <row r="36" spans="1:8">
      <c r="A36" s="90" t="s">
        <v>202</v>
      </c>
      <c r="B36" s="90"/>
      <c r="C36" s="136">
        <f>1/(1+$B$35)</f>
        <v>0.94966761633428309</v>
      </c>
      <c r="D36" s="136">
        <f>C36/(1+$B$35)</f>
        <v>0.90186858151403904</v>
      </c>
      <c r="E36" s="136">
        <f t="shared" ref="E36:G36" si="4">D36/(1+$B$35)</f>
        <v>0.85647538605321849</v>
      </c>
      <c r="F36" s="136">
        <f t="shared" si="4"/>
        <v>0.81336693832214491</v>
      </c>
      <c r="G36" s="136">
        <f t="shared" si="4"/>
        <v>0.77242824152150513</v>
      </c>
      <c r="H36" s="136">
        <f>G36</f>
        <v>0.77242824152150513</v>
      </c>
    </row>
    <row r="37" spans="1:8">
      <c r="A37" s="90" t="s">
        <v>217</v>
      </c>
      <c r="B37" s="90"/>
      <c r="C37" s="137">
        <f>'Cash Flow Calculation'!E65</f>
        <v>15.428499999999998</v>
      </c>
      <c r="D37" s="137">
        <f>'Cash Flow Calculation'!F65</f>
        <v>15.428499999999998</v>
      </c>
      <c r="E37" s="137">
        <f>'Cash Flow Calculation'!G65</f>
        <v>15.428499999999998</v>
      </c>
      <c r="F37" s="137">
        <f>'Cash Flow Calculation'!H65</f>
        <v>15.428499999999998</v>
      </c>
      <c r="G37" s="137">
        <f>'Cash Flow Calculation'!I65</f>
        <v>15.428499999999998</v>
      </c>
      <c r="H37" s="137">
        <f>G37*(1+$B$4)</f>
        <v>15.814212499999996</v>
      </c>
    </row>
    <row r="38" spans="1:8">
      <c r="A38" s="90" t="s">
        <v>204</v>
      </c>
      <c r="B38" s="90"/>
      <c r="C38" s="90"/>
      <c r="D38" s="90"/>
      <c r="E38" s="90"/>
      <c r="F38" s="90"/>
      <c r="G38" s="90"/>
      <c r="H38" s="137">
        <f>H37/($B$35-$B$4)</f>
        <v>564.79330357142851</v>
      </c>
    </row>
    <row r="39" spans="1:8">
      <c r="A39" s="91" t="s">
        <v>218</v>
      </c>
      <c r="B39" s="90"/>
      <c r="C39" s="138">
        <f>C37*C36</f>
        <v>14.651946818613485</v>
      </c>
      <c r="D39" s="138">
        <f>D37*D36</f>
        <v>13.914479409889349</v>
      </c>
      <c r="E39" s="138">
        <f t="shared" ref="E39:G39" si="5">E37*E36</f>
        <v>13.214130493722079</v>
      </c>
      <c r="F39" s="138">
        <f t="shared" si="5"/>
        <v>12.54903180790321</v>
      </c>
      <c r="G39" s="138">
        <f t="shared" si="5"/>
        <v>11.91740912431454</v>
      </c>
      <c r="H39" s="90"/>
    </row>
    <row r="40" spans="1:8">
      <c r="A40" s="91" t="s">
        <v>206</v>
      </c>
      <c r="B40" s="90"/>
      <c r="C40" s="90"/>
      <c r="D40" s="90"/>
      <c r="E40" s="90"/>
      <c r="F40" s="90"/>
      <c r="G40" s="90"/>
      <c r="H40" s="138">
        <f>H38*H36</f>
        <v>436.26229830080013</v>
      </c>
    </row>
    <row r="41" spans="1:8">
      <c r="A41" s="90"/>
      <c r="B41" s="90"/>
      <c r="C41" s="90"/>
      <c r="D41" s="90"/>
      <c r="E41" s="90"/>
      <c r="F41" s="90"/>
      <c r="G41" s="90"/>
      <c r="H41" s="90"/>
    </row>
    <row r="42" spans="1:8">
      <c r="A42" s="90" t="s">
        <v>219</v>
      </c>
      <c r="B42" s="137">
        <f>SUM(C32:G32)+H33</f>
        <v>23450.113184919879</v>
      </c>
      <c r="C42" s="90"/>
      <c r="D42" s="90"/>
      <c r="E42" s="90"/>
      <c r="F42" s="90"/>
      <c r="G42" s="90"/>
      <c r="H42" s="90"/>
    </row>
    <row r="43" spans="1:8">
      <c r="A43" s="90" t="s">
        <v>220</v>
      </c>
      <c r="B43" s="137">
        <f>SUM(C39:G39)+H40</f>
        <v>502.50929595524281</v>
      </c>
      <c r="C43" s="90"/>
      <c r="D43" s="90"/>
      <c r="E43" s="90"/>
      <c r="F43" s="90"/>
      <c r="G43" s="90"/>
      <c r="H43" s="90"/>
    </row>
    <row r="44" spans="1:8">
      <c r="A44" s="91" t="s">
        <v>207</v>
      </c>
      <c r="B44" s="139">
        <f>B42+B43</f>
        <v>23952.622480875121</v>
      </c>
      <c r="C44" s="90"/>
      <c r="D44" s="90"/>
      <c r="E44" s="140"/>
      <c r="F44" s="90"/>
      <c r="G44" s="90"/>
      <c r="H44" s="90"/>
    </row>
    <row r="45" spans="1:8">
      <c r="A45" s="90" t="s">
        <v>208</v>
      </c>
      <c r="B45" s="137">
        <f>'Balance Sheet'!D10</f>
        <v>2216.5</v>
      </c>
      <c r="C45" s="90"/>
      <c r="D45" s="90"/>
      <c r="E45" s="90"/>
      <c r="F45" s="90"/>
      <c r="G45" s="90"/>
      <c r="H45" s="90"/>
    </row>
    <row r="46" spans="1:8">
      <c r="A46" s="141" t="s">
        <v>213</v>
      </c>
      <c r="B46" s="137">
        <f>'Balance Sheet'!D11</f>
        <v>36.1</v>
      </c>
      <c r="C46" s="90"/>
      <c r="D46" s="90"/>
      <c r="E46" s="90"/>
      <c r="F46" s="90"/>
      <c r="G46" s="90"/>
      <c r="H46" s="90"/>
    </row>
    <row r="47" spans="1:8">
      <c r="A47" s="141" t="s">
        <v>214</v>
      </c>
      <c r="B47" s="137">
        <f>'Balance Sheet'!D19</f>
        <v>32.4</v>
      </c>
      <c r="C47" s="90"/>
      <c r="D47" s="90"/>
      <c r="E47" s="90"/>
      <c r="F47" s="90"/>
      <c r="G47" s="90"/>
      <c r="H47" s="90"/>
    </row>
    <row r="48" spans="1:8">
      <c r="A48" s="91" t="s">
        <v>209</v>
      </c>
      <c r="B48" s="139">
        <f>B44+SUM(B45:B47)</f>
        <v>26237.622480875121</v>
      </c>
      <c r="C48" s="90"/>
      <c r="D48" s="90"/>
      <c r="E48" s="90"/>
      <c r="F48" s="90"/>
      <c r="G48" s="90"/>
      <c r="H48" s="90"/>
    </row>
    <row r="49" spans="1:8">
      <c r="A49" s="90" t="s">
        <v>210</v>
      </c>
      <c r="B49" s="137">
        <f>'Cost of Equity'!B9</f>
        <v>1442.9</v>
      </c>
      <c r="C49" s="90"/>
      <c r="D49" s="90"/>
      <c r="E49" s="90"/>
      <c r="F49" s="90"/>
      <c r="G49" s="90"/>
      <c r="H49" s="90"/>
    </row>
    <row r="50" spans="1:8">
      <c r="A50" s="91" t="s">
        <v>211</v>
      </c>
      <c r="B50" s="142">
        <f>B48-B49</f>
        <v>24794.72248087512</v>
      </c>
      <c r="C50" s="90"/>
      <c r="D50" s="90"/>
      <c r="E50" s="90"/>
      <c r="F50" s="90"/>
      <c r="G50" s="90"/>
      <c r="H50" s="90"/>
    </row>
    <row r="51" spans="1:8">
      <c r="A51" s="141" t="s">
        <v>215</v>
      </c>
      <c r="B51" s="137">
        <v>0</v>
      </c>
      <c r="C51" s="90"/>
      <c r="D51" s="90"/>
      <c r="E51" s="90"/>
      <c r="F51" s="90"/>
      <c r="G51" s="90"/>
      <c r="H51" s="90"/>
    </row>
    <row r="52" spans="1:8">
      <c r="A52" s="91" t="s">
        <v>212</v>
      </c>
      <c r="B52" s="139">
        <f>B50-B51</f>
        <v>24794.72248087512</v>
      </c>
      <c r="C52" s="90"/>
      <c r="D52" s="90"/>
      <c r="E52" s="90"/>
      <c r="F52" s="90"/>
      <c r="G52" s="90"/>
      <c r="H52" s="90"/>
    </row>
    <row r="53" spans="1:8">
      <c r="A53" s="90"/>
      <c r="B53" s="90"/>
      <c r="C53" s="90"/>
      <c r="D53" s="90"/>
      <c r="E53" s="90"/>
      <c r="F53" s="90"/>
      <c r="G53" s="90"/>
      <c r="H53" s="90"/>
    </row>
    <row r="54" spans="1:8">
      <c r="A54" s="90"/>
      <c r="B54" s="90"/>
      <c r="C54" s="90"/>
      <c r="D54" s="90"/>
      <c r="E54" s="90"/>
      <c r="F54" s="90"/>
      <c r="G54" s="90"/>
      <c r="H54" s="90"/>
    </row>
    <row r="55" spans="1:8">
      <c r="A55" s="42" t="s">
        <v>221</v>
      </c>
      <c r="B55" s="148"/>
      <c r="C55" s="148"/>
      <c r="D55" s="148"/>
      <c r="E55" s="148"/>
      <c r="F55" s="148"/>
      <c r="G55" s="148"/>
      <c r="H55" s="148"/>
    </row>
    <row r="56" spans="1:8">
      <c r="A56" s="42" t="s">
        <v>194</v>
      </c>
      <c r="B56" s="149" t="s">
        <v>195</v>
      </c>
      <c r="C56" s="149" t="s">
        <v>196</v>
      </c>
      <c r="D56" s="149" t="s">
        <v>197</v>
      </c>
      <c r="E56" s="149" t="s">
        <v>198</v>
      </c>
      <c r="F56" s="149" t="s">
        <v>199</v>
      </c>
      <c r="G56" s="149" t="s">
        <v>200</v>
      </c>
      <c r="H56" s="149" t="s">
        <v>201</v>
      </c>
    </row>
    <row r="57" spans="1:8">
      <c r="A57" s="90" t="s">
        <v>222</v>
      </c>
      <c r="B57" s="135">
        <f>'Cost of Equity'!B53</f>
        <v>8.0862310054086534E-2</v>
      </c>
      <c r="C57" s="90"/>
      <c r="D57" s="90"/>
      <c r="E57" s="90"/>
      <c r="F57" s="90"/>
      <c r="G57" s="90"/>
      <c r="H57" s="90"/>
    </row>
    <row r="58" spans="1:8">
      <c r="A58" s="90" t="s">
        <v>202</v>
      </c>
      <c r="B58" s="90"/>
      <c r="C58" s="136">
        <f>1/(1+$B$57)</f>
        <v>0.92518722384718899</v>
      </c>
      <c r="D58" s="136">
        <f>C58/(1+$B$57)</f>
        <v>0.85597139917006859</v>
      </c>
      <c r="E58" s="136">
        <f t="shared" ref="E58:G58" si="6">D58/(1+$B$57)</f>
        <v>0.79193380249074974</v>
      </c>
      <c r="F58" s="136">
        <f t="shared" si="6"/>
        <v>0.7326870361971648</v>
      </c>
      <c r="G58" s="136">
        <f t="shared" si="6"/>
        <v>0.67787268496807973</v>
      </c>
      <c r="H58" s="136">
        <f>G58</f>
        <v>0.67787268496807973</v>
      </c>
    </row>
    <row r="59" spans="1:8">
      <c r="A59" s="90" t="s">
        <v>223</v>
      </c>
      <c r="B59" s="90"/>
      <c r="C59" s="137">
        <f>'Cash Flow Calculation'!E79</f>
        <v>1155.4467939450003</v>
      </c>
      <c r="D59" s="137">
        <f>'Cash Flow Calculation'!F79</f>
        <v>1246.0673669326002</v>
      </c>
      <c r="E59" s="137">
        <f>'Cash Flow Calculation'!G79</f>
        <v>1328.180627296902</v>
      </c>
      <c r="F59" s="137">
        <f>'Cash Flow Calculation'!H79</f>
        <v>1407.3370992928628</v>
      </c>
      <c r="G59" s="137">
        <f>'Cash Flow Calculation'!I79</f>
        <v>1487.9196083035918</v>
      </c>
      <c r="H59" s="137">
        <f>G59*(1+$B$4)</f>
        <v>1525.1175985111813</v>
      </c>
    </row>
    <row r="60" spans="1:8">
      <c r="A60" s="90" t="s">
        <v>204</v>
      </c>
      <c r="B60" s="90"/>
      <c r="C60" s="90"/>
      <c r="D60" s="90"/>
      <c r="E60" s="90"/>
      <c r="F60" s="90"/>
      <c r="G60" s="90"/>
      <c r="H60" s="137">
        <f>H59/($B$57-$B$4)</f>
        <v>27301.370047793313</v>
      </c>
    </row>
    <row r="61" spans="1:8">
      <c r="A61" s="91" t="s">
        <v>224</v>
      </c>
      <c r="B61" s="90"/>
      <c r="C61" s="138">
        <f>C59*C58</f>
        <v>1069.0046115931098</v>
      </c>
      <c r="D61" s="138">
        <f>D59*D58</f>
        <v>1066.5980275334609</v>
      </c>
      <c r="E61" s="138">
        <f t="shared" ref="E61:G61" si="7">E59*E58</f>
        <v>1051.8311345697848</v>
      </c>
      <c r="F61" s="138">
        <f t="shared" si="7"/>
        <v>1031.1376482112028</v>
      </c>
      <c r="G61" s="138">
        <f t="shared" si="7"/>
        <v>1008.6200598974092</v>
      </c>
      <c r="H61" s="90"/>
    </row>
    <row r="62" spans="1:8">
      <c r="A62" s="91" t="s">
        <v>206</v>
      </c>
      <c r="B62" s="90"/>
      <c r="C62" s="90"/>
      <c r="D62" s="90"/>
      <c r="E62" s="90"/>
      <c r="F62" s="90"/>
      <c r="G62" s="90"/>
      <c r="H62" s="138">
        <f>H60*H58</f>
        <v>18506.853017604764</v>
      </c>
    </row>
    <row r="63" spans="1:8">
      <c r="A63" s="90"/>
      <c r="B63" s="90"/>
      <c r="C63" s="90"/>
      <c r="D63" s="90"/>
      <c r="E63" s="90"/>
      <c r="F63" s="90"/>
      <c r="G63" s="90"/>
      <c r="H63" s="90"/>
    </row>
    <row r="64" spans="1:8">
      <c r="A64" s="91" t="s">
        <v>207</v>
      </c>
      <c r="B64" s="139">
        <f>SUM(C61:G61)+H62</f>
        <v>23734.044499409731</v>
      </c>
      <c r="C64" s="90"/>
      <c r="D64" s="90"/>
      <c r="E64" s="140"/>
      <c r="F64" s="90"/>
      <c r="G64" s="90"/>
      <c r="H64" s="90"/>
    </row>
    <row r="65" spans="1:8">
      <c r="A65" s="90" t="s">
        <v>208</v>
      </c>
      <c r="B65" s="137">
        <f>'Balance Sheet'!D10</f>
        <v>2216.5</v>
      </c>
      <c r="C65" s="90"/>
      <c r="D65" s="90"/>
      <c r="E65" s="90"/>
      <c r="F65" s="90"/>
      <c r="G65" s="90"/>
      <c r="H65" s="90"/>
    </row>
    <row r="66" spans="1:8">
      <c r="A66" s="141" t="s">
        <v>213</v>
      </c>
      <c r="B66" s="137">
        <f>'Balance Sheet'!D11</f>
        <v>36.1</v>
      </c>
      <c r="C66" s="90"/>
      <c r="D66" s="90"/>
      <c r="E66" s="90"/>
      <c r="F66" s="90"/>
      <c r="G66" s="90"/>
      <c r="H66" s="90"/>
    </row>
    <row r="67" spans="1:8">
      <c r="A67" s="141" t="s">
        <v>214</v>
      </c>
      <c r="B67" s="137">
        <f>'Balance Sheet'!D19</f>
        <v>32.4</v>
      </c>
      <c r="C67" s="90"/>
      <c r="D67" s="90"/>
      <c r="E67" s="90"/>
      <c r="F67" s="90"/>
      <c r="G67" s="90"/>
      <c r="H67" s="90"/>
    </row>
    <row r="68" spans="1:8">
      <c r="A68" s="91" t="s">
        <v>209</v>
      </c>
      <c r="B68" s="139">
        <f>B64+SUM(B65:B67)</f>
        <v>26019.044499409731</v>
      </c>
      <c r="C68" s="90"/>
      <c r="D68" s="90"/>
      <c r="E68" s="90"/>
      <c r="F68" s="90"/>
      <c r="G68" s="90"/>
      <c r="H68" s="90"/>
    </row>
    <row r="69" spans="1:8">
      <c r="A69" s="90" t="s">
        <v>210</v>
      </c>
      <c r="B69" s="137">
        <f>'Cost of Equity'!B9</f>
        <v>1442.9</v>
      </c>
      <c r="C69" s="90"/>
      <c r="D69" s="90"/>
      <c r="E69" s="90"/>
      <c r="F69" s="90"/>
      <c r="G69" s="90"/>
      <c r="H69" s="90"/>
    </row>
    <row r="70" spans="1:8">
      <c r="A70" s="91" t="s">
        <v>211</v>
      </c>
      <c r="B70" s="142">
        <f>B68-B69</f>
        <v>24576.144499409729</v>
      </c>
      <c r="C70" s="90"/>
      <c r="D70" s="90"/>
      <c r="E70" s="90"/>
      <c r="F70" s="90"/>
      <c r="G70" s="90"/>
      <c r="H70" s="90"/>
    </row>
    <row r="71" spans="1:8">
      <c r="A71" s="141" t="s">
        <v>215</v>
      </c>
      <c r="B71" s="137">
        <v>0</v>
      </c>
      <c r="C71" s="90"/>
      <c r="D71" s="90"/>
      <c r="E71" s="90"/>
      <c r="F71" s="90"/>
      <c r="G71" s="90"/>
      <c r="H71" s="90"/>
    </row>
    <row r="72" spans="1:8">
      <c r="A72" s="91" t="s">
        <v>212</v>
      </c>
      <c r="B72" s="139">
        <f>B70-B71</f>
        <v>24576.144499409729</v>
      </c>
      <c r="C72" s="90"/>
      <c r="D72" s="90"/>
      <c r="E72" s="90"/>
      <c r="F72" s="90"/>
      <c r="G72" s="90"/>
      <c r="H72" s="90"/>
    </row>
    <row r="73" spans="1:8">
      <c r="A73" s="90"/>
      <c r="B73" s="90"/>
      <c r="C73" s="90"/>
      <c r="D73" s="90"/>
      <c r="E73" s="90"/>
      <c r="F73" s="90"/>
      <c r="G73" s="90"/>
      <c r="H73" s="90"/>
    </row>
    <row r="74" spans="1:8">
      <c r="A74" s="90"/>
      <c r="B74" s="90"/>
      <c r="C74" s="90"/>
      <c r="D74" s="90"/>
      <c r="E74" s="90"/>
      <c r="F74" s="90"/>
      <c r="G74" s="90"/>
      <c r="H74" s="90"/>
    </row>
    <row r="75" spans="1:8">
      <c r="A75" s="42" t="s">
        <v>225</v>
      </c>
      <c r="B75" s="148"/>
      <c r="C75" s="148"/>
      <c r="D75" s="148"/>
      <c r="E75" s="148"/>
      <c r="F75" s="148"/>
      <c r="G75" s="148"/>
      <c r="H75" s="148"/>
    </row>
    <row r="76" spans="1:8">
      <c r="A76" s="42" t="s">
        <v>194</v>
      </c>
      <c r="B76" s="149" t="s">
        <v>195</v>
      </c>
      <c r="C76" s="149" t="s">
        <v>196</v>
      </c>
      <c r="D76" s="149" t="s">
        <v>197</v>
      </c>
      <c r="E76" s="149" t="s">
        <v>198</v>
      </c>
      <c r="F76" s="149" t="s">
        <v>199</v>
      </c>
      <c r="G76" s="149" t="s">
        <v>200</v>
      </c>
      <c r="H76" s="149" t="s">
        <v>201</v>
      </c>
    </row>
    <row r="77" spans="1:8">
      <c r="A77" s="90" t="s">
        <v>174</v>
      </c>
      <c r="B77" s="135">
        <f>'Cost of Equity'!B58</f>
        <v>8.2648317287680753E-2</v>
      </c>
      <c r="C77" s="90"/>
      <c r="D77" s="90"/>
      <c r="E77" s="90"/>
      <c r="F77" s="90"/>
      <c r="G77" s="90"/>
      <c r="H77" s="90"/>
    </row>
    <row r="78" spans="1:8">
      <c r="A78" s="90" t="s">
        <v>202</v>
      </c>
      <c r="B78" s="90"/>
      <c r="C78" s="136">
        <f>1/(1+$B$77)</f>
        <v>0.92366097469699426</v>
      </c>
      <c r="D78" s="136">
        <f>C78/(1+$B$77)</f>
        <v>0.85314959617820152</v>
      </c>
      <c r="E78" s="136">
        <f t="shared" ref="E78:G78" si="8">D78/(1+$B$77)</f>
        <v>0.78802098756830463</v>
      </c>
      <c r="F78" s="136">
        <f t="shared" si="8"/>
        <v>0.72786423345902829</v>
      </c>
      <c r="G78" s="136">
        <f t="shared" si="8"/>
        <v>0.67229978732384665</v>
      </c>
      <c r="H78" s="136">
        <f>G78</f>
        <v>0.67229978732384665</v>
      </c>
    </row>
    <row r="79" spans="1:8">
      <c r="A79" s="90" t="s">
        <v>226</v>
      </c>
      <c r="B79" s="90"/>
      <c r="C79" s="137">
        <f>'Cash Flow Calculation'!E95</f>
        <v>1103.1467939450004</v>
      </c>
      <c r="D79" s="137">
        <f>'Cash Flow Calculation'!F95</f>
        <v>1193.7673669326002</v>
      </c>
      <c r="E79" s="137">
        <f>'Cash Flow Calculation'!G95</f>
        <v>1275.880627296902</v>
      </c>
      <c r="F79" s="137">
        <f>'Cash Flow Calculation'!H95</f>
        <v>1355.0370992928626</v>
      </c>
      <c r="G79" s="137">
        <f>'Cash Flow Calculation'!I95</f>
        <v>1435.6196083035918</v>
      </c>
      <c r="H79" s="137">
        <f>G79*(1+$B$4)</f>
        <v>1471.5100985111815</v>
      </c>
    </row>
    <row r="80" spans="1:8">
      <c r="A80" s="90" t="s">
        <v>227</v>
      </c>
      <c r="B80" s="90"/>
      <c r="C80" s="90"/>
      <c r="D80" s="90"/>
      <c r="E80" s="90"/>
      <c r="F80" s="90"/>
      <c r="G80" s="90"/>
      <c r="H80" s="137">
        <f>H79/($B$77-$B$4)</f>
        <v>25525.638348955559</v>
      </c>
    </row>
    <row r="81" spans="1:8">
      <c r="A81" s="91" t="s">
        <v>228</v>
      </c>
      <c r="B81" s="90"/>
      <c r="C81" s="138">
        <f>C79*C78</f>
        <v>1018.9336429291034</v>
      </c>
      <c r="D81" s="138">
        <f>D79*D78</f>
        <v>1018.4621470292628</v>
      </c>
      <c r="E81" s="138">
        <f t="shared" ref="E81:G81" si="9">E79*E78</f>
        <v>1005.4207119417728</v>
      </c>
      <c r="F81" s="138">
        <f t="shared" si="9"/>
        <v>986.28303958534468</v>
      </c>
      <c r="G81" s="138">
        <f t="shared" si="9"/>
        <v>965.16675734044884</v>
      </c>
      <c r="H81" s="90"/>
    </row>
    <row r="82" spans="1:8">
      <c r="A82" s="91" t="s">
        <v>206</v>
      </c>
      <c r="B82" s="90"/>
      <c r="C82" s="90"/>
      <c r="D82" s="90"/>
      <c r="E82" s="90"/>
      <c r="F82" s="90"/>
      <c r="G82" s="90"/>
      <c r="H82" s="138">
        <f>H80*H78</f>
        <v>17160.881233308246</v>
      </c>
    </row>
    <row r="83" spans="1:8">
      <c r="A83" s="90"/>
      <c r="B83" s="90"/>
      <c r="C83" s="90"/>
      <c r="D83" s="90"/>
      <c r="E83" s="90"/>
      <c r="F83" s="90"/>
      <c r="G83" s="90"/>
      <c r="H83" s="90"/>
    </row>
    <row r="84" spans="1:8">
      <c r="A84" s="91" t="s">
        <v>229</v>
      </c>
      <c r="B84" s="139">
        <f>SUM(C81:G81)+H82</f>
        <v>22155.147532134179</v>
      </c>
      <c r="C84" s="90"/>
      <c r="D84" s="90"/>
      <c r="E84" s="90"/>
      <c r="F84" s="90"/>
      <c r="G84" s="90"/>
      <c r="H84" s="90"/>
    </row>
    <row r="85" spans="1:8">
      <c r="A85" s="90" t="s">
        <v>208</v>
      </c>
      <c r="B85" s="137">
        <f>'Balance Sheet'!D10</f>
        <v>2216.5</v>
      </c>
      <c r="C85" s="90"/>
      <c r="D85" s="90"/>
      <c r="E85" s="90"/>
      <c r="F85" s="90"/>
      <c r="G85" s="90"/>
      <c r="H85" s="90"/>
    </row>
    <row r="86" spans="1:8">
      <c r="A86" s="141" t="s">
        <v>213</v>
      </c>
      <c r="B86" s="137">
        <f>'Balance Sheet'!D11</f>
        <v>36.1</v>
      </c>
      <c r="C86" s="90"/>
      <c r="D86" s="90"/>
      <c r="E86" s="90"/>
      <c r="F86" s="90"/>
      <c r="G86" s="90"/>
      <c r="H86" s="90"/>
    </row>
    <row r="87" spans="1:8">
      <c r="A87" s="141" t="s">
        <v>214</v>
      </c>
      <c r="B87" s="137">
        <f>'Balance Sheet'!D19</f>
        <v>32.4</v>
      </c>
      <c r="C87" s="90"/>
      <c r="D87" s="90"/>
      <c r="E87" s="90"/>
      <c r="F87" s="90"/>
      <c r="G87" s="90"/>
      <c r="H87" s="90"/>
    </row>
    <row r="88" spans="1:8">
      <c r="A88" s="91" t="s">
        <v>230</v>
      </c>
      <c r="B88" s="139">
        <f>B84+SUM(B85:B87)</f>
        <v>24440.147532134179</v>
      </c>
      <c r="C88" s="90"/>
      <c r="D88" s="90"/>
      <c r="E88" s="90"/>
      <c r="F88" s="90"/>
      <c r="G88" s="90"/>
      <c r="H88" s="90"/>
    </row>
    <row r="89" spans="1:8">
      <c r="A89" s="141" t="s">
        <v>215</v>
      </c>
      <c r="B89" s="137">
        <v>0</v>
      </c>
      <c r="C89" s="90"/>
      <c r="D89" s="90"/>
      <c r="E89" s="90"/>
      <c r="F89" s="90"/>
      <c r="G89" s="90"/>
      <c r="H89" s="90"/>
    </row>
    <row r="90" spans="1:8">
      <c r="A90" s="91" t="s">
        <v>212</v>
      </c>
      <c r="B90" s="139">
        <f>B88-B89</f>
        <v>24440.147532134179</v>
      </c>
      <c r="C90" s="90"/>
      <c r="D90" s="90"/>
      <c r="E90" s="90"/>
      <c r="F90" s="90"/>
      <c r="G90" s="90"/>
      <c r="H90" s="90"/>
    </row>
    <row r="91" spans="1:8">
      <c r="A91" s="90"/>
      <c r="B91" s="90"/>
      <c r="C91" s="90"/>
      <c r="D91" s="90"/>
      <c r="E91" s="90"/>
      <c r="F91" s="90"/>
      <c r="G91" s="90"/>
      <c r="H91" s="90"/>
    </row>
    <row r="92" spans="1:8">
      <c r="A92" s="90"/>
      <c r="B92" s="90"/>
      <c r="C92" s="90"/>
      <c r="D92" s="90"/>
      <c r="E92" s="90"/>
      <c r="F92" s="90"/>
      <c r="G92" s="90"/>
      <c r="H92" s="90"/>
    </row>
    <row r="93" spans="1:8">
      <c r="A93" s="42" t="s">
        <v>372</v>
      </c>
      <c r="B93" s="148"/>
      <c r="C93" s="148"/>
      <c r="D93" s="90"/>
      <c r="E93" s="90"/>
      <c r="F93" s="90"/>
      <c r="G93" s="90"/>
      <c r="H93" s="90"/>
    </row>
    <row r="94" spans="1:8">
      <c r="A94" s="90" t="s">
        <v>231</v>
      </c>
      <c r="B94" s="138">
        <f>B23</f>
        <v>24731.65222417123</v>
      </c>
      <c r="C94" s="90"/>
      <c r="D94" s="90"/>
      <c r="E94" s="90"/>
      <c r="F94" s="90"/>
      <c r="G94" s="90"/>
      <c r="H94" s="90"/>
    </row>
    <row r="95" spans="1:8">
      <c r="A95" s="90" t="s">
        <v>232</v>
      </c>
      <c r="B95" s="138">
        <f>B52</f>
        <v>24794.72248087512</v>
      </c>
      <c r="C95" s="90"/>
      <c r="D95" s="90"/>
      <c r="E95" s="90"/>
      <c r="F95" s="90"/>
      <c r="G95" s="90"/>
      <c r="H95" s="90"/>
    </row>
    <row r="96" spans="1:8">
      <c r="A96" s="90" t="s">
        <v>233</v>
      </c>
      <c r="B96" s="138">
        <f>B72</f>
        <v>24576.144499409729</v>
      </c>
      <c r="C96" s="90"/>
      <c r="D96" s="90"/>
      <c r="E96" s="90"/>
      <c r="F96" s="90"/>
      <c r="G96" s="90"/>
      <c r="H96" s="90"/>
    </row>
    <row r="97" spans="1:8">
      <c r="A97" s="90" t="s">
        <v>234</v>
      </c>
      <c r="B97" s="138">
        <f>B90</f>
        <v>24440.147532134179</v>
      </c>
      <c r="C97" s="90"/>
      <c r="D97" s="90"/>
      <c r="E97" s="90"/>
      <c r="F97" s="90"/>
      <c r="G97" s="90"/>
      <c r="H97" s="90"/>
    </row>
    <row r="98" spans="1:8">
      <c r="A98" s="90"/>
      <c r="B98" s="90"/>
      <c r="C98" s="90"/>
      <c r="D98" s="90"/>
      <c r="E98" s="90"/>
      <c r="F98" s="90"/>
      <c r="G98" s="90"/>
      <c r="H98" s="90"/>
    </row>
    <row r="99" spans="1:8">
      <c r="A99" s="90"/>
      <c r="B99" s="140"/>
      <c r="C99" s="156"/>
      <c r="D99" s="90"/>
      <c r="E99" s="90"/>
      <c r="F99" s="90"/>
      <c r="G99" s="90"/>
      <c r="H99" s="90"/>
    </row>
    <row r="100" spans="1:8">
      <c r="A100" s="143"/>
      <c r="B100" s="90"/>
      <c r="C100" s="90"/>
      <c r="D100" s="90"/>
      <c r="E100" s="90"/>
      <c r="F100" s="90"/>
      <c r="G100" s="90"/>
      <c r="H100" s="90"/>
    </row>
    <row r="101" spans="1:8">
      <c r="A101" s="90"/>
      <c r="B101" s="90"/>
      <c r="C101" s="90"/>
      <c r="D101" s="90"/>
      <c r="E101" s="90"/>
      <c r="F101" s="90"/>
      <c r="G101" s="90"/>
      <c r="H101" s="90"/>
    </row>
    <row r="102" spans="1:8">
      <c r="A102" s="90"/>
      <c r="B102" s="90"/>
      <c r="C102" s="90"/>
      <c r="D102" s="90"/>
      <c r="E102" s="90"/>
      <c r="F102" s="90"/>
      <c r="G102" s="90"/>
      <c r="H102" s="90"/>
    </row>
    <row r="103" spans="1:8">
      <c r="A103" s="90"/>
      <c r="B103" s="90"/>
      <c r="C103" s="90"/>
      <c r="D103" s="90"/>
      <c r="E103" s="90"/>
      <c r="F103" s="90"/>
      <c r="G103" s="90"/>
      <c r="H103" s="9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10291-A148-7945-B47C-5A630E0923CB}">
  <sheetPr>
    <tabColor rgb="FFFF0000"/>
  </sheetPr>
  <dimension ref="A1:H43"/>
  <sheetViews>
    <sheetView topLeftCell="A15" workbookViewId="0">
      <selection activeCell="D24" sqref="D24"/>
    </sheetView>
  </sheetViews>
  <sheetFormatPr baseColWidth="10" defaultRowHeight="16"/>
  <cols>
    <col min="1" max="1" width="41.6640625" customWidth="1"/>
    <col min="2" max="6" width="12" customWidth="1"/>
    <col min="7" max="7" width="21.83203125" customWidth="1"/>
    <col min="8" max="8" width="13.33203125" customWidth="1"/>
  </cols>
  <sheetData>
    <row r="1" spans="1:7" ht="19">
      <c r="A1" s="157" t="s">
        <v>363</v>
      </c>
    </row>
    <row r="2" spans="1:7">
      <c r="A2" s="38"/>
    </row>
    <row r="4" spans="1:7">
      <c r="A4" s="67" t="s">
        <v>235</v>
      </c>
      <c r="B4" s="68"/>
      <c r="C4" s="68"/>
      <c r="D4" s="68"/>
      <c r="E4" s="68"/>
      <c r="F4" s="68"/>
    </row>
    <row r="5" spans="1:7">
      <c r="A5" s="72" t="s">
        <v>236</v>
      </c>
      <c r="B5" s="73" t="s">
        <v>237</v>
      </c>
      <c r="C5" s="73" t="s">
        <v>238</v>
      </c>
      <c r="D5" s="73" t="s">
        <v>239</v>
      </c>
      <c r="E5" s="73" t="s">
        <v>240</v>
      </c>
      <c r="F5" s="73" t="s">
        <v>241</v>
      </c>
      <c r="G5" s="150"/>
    </row>
    <row r="6" spans="1:7">
      <c r="A6" s="74" t="s">
        <v>242</v>
      </c>
      <c r="B6" s="162">
        <v>3</v>
      </c>
      <c r="C6" s="162">
        <v>24</v>
      </c>
      <c r="D6" s="162">
        <v>13</v>
      </c>
      <c r="E6" s="162">
        <v>18</v>
      </c>
      <c r="F6" s="162">
        <v>19</v>
      </c>
      <c r="G6" s="69"/>
    </row>
    <row r="7" spans="1:7">
      <c r="A7" s="74" t="s">
        <v>243</v>
      </c>
      <c r="B7" s="162">
        <v>2.7</v>
      </c>
      <c r="C7" s="162">
        <v>22</v>
      </c>
      <c r="D7" s="162">
        <v>9</v>
      </c>
      <c r="E7" s="162">
        <v>17</v>
      </c>
      <c r="F7" s="162">
        <v>20</v>
      </c>
      <c r="G7" s="69"/>
    </row>
    <row r="8" spans="1:7">
      <c r="A8" s="74" t="s">
        <v>244</v>
      </c>
      <c r="B8" s="162">
        <v>3.5</v>
      </c>
      <c r="C8" s="162">
        <v>25</v>
      </c>
      <c r="D8" s="162">
        <v>7.5</v>
      </c>
      <c r="E8" s="162">
        <v>18.5</v>
      </c>
      <c r="F8" s="162">
        <v>21</v>
      </c>
      <c r="G8" s="69"/>
    </row>
    <row r="9" spans="1:7">
      <c r="A9" s="74" t="s">
        <v>245</v>
      </c>
      <c r="B9" s="162">
        <v>3</v>
      </c>
      <c r="C9" s="162">
        <v>20</v>
      </c>
      <c r="D9" s="162">
        <v>7</v>
      </c>
      <c r="E9" s="162">
        <v>14</v>
      </c>
      <c r="F9" s="162">
        <v>16</v>
      </c>
      <c r="G9" s="69"/>
    </row>
    <row r="10" spans="1:7">
      <c r="A10" s="74" t="s">
        <v>246</v>
      </c>
      <c r="B10" s="162">
        <v>2.2999999999999998</v>
      </c>
      <c r="C10" s="162">
        <v>26</v>
      </c>
      <c r="D10" s="162">
        <v>9</v>
      </c>
      <c r="E10" s="162">
        <v>19</v>
      </c>
      <c r="F10" s="162">
        <v>24</v>
      </c>
      <c r="G10" s="69"/>
    </row>
    <row r="11" spans="1:7">
      <c r="A11" s="74"/>
      <c r="B11" s="162"/>
      <c r="C11" s="162"/>
      <c r="D11" s="162"/>
      <c r="E11" s="162"/>
      <c r="F11" s="162"/>
    </row>
    <row r="12" spans="1:7">
      <c r="A12" s="76" t="s">
        <v>247</v>
      </c>
      <c r="B12" s="88">
        <f>MIN(B6:B10)</f>
        <v>2.2999999999999998</v>
      </c>
      <c r="C12" s="77">
        <f>MIN(C6:C10)</f>
        <v>20</v>
      </c>
      <c r="D12" s="77">
        <f>MIN(D6:D10)</f>
        <v>7</v>
      </c>
      <c r="E12" s="77">
        <f>MIN(E6:E10)</f>
        <v>14</v>
      </c>
      <c r="F12" s="77">
        <f>MIN(F6:F10)</f>
        <v>16</v>
      </c>
    </row>
    <row r="13" spans="1:7">
      <c r="A13" s="76" t="s">
        <v>248</v>
      </c>
      <c r="B13" s="88">
        <f>MEDIAN(B6:B10)</f>
        <v>3</v>
      </c>
      <c r="C13" s="77">
        <f>MEDIAN(C6:C10)</f>
        <v>24</v>
      </c>
      <c r="D13" s="77">
        <f>MEDIAN(D6:D10)</f>
        <v>9</v>
      </c>
      <c r="E13" s="77">
        <f>MEDIAN(E6:E10)</f>
        <v>18</v>
      </c>
      <c r="F13" s="77">
        <f>MEDIAN(F6:F10)</f>
        <v>20</v>
      </c>
    </row>
    <row r="14" spans="1:7">
      <c r="A14" s="76" t="s">
        <v>249</v>
      </c>
      <c r="B14" s="88">
        <f>AVERAGE(B6:B10)</f>
        <v>2.9</v>
      </c>
      <c r="C14" s="77">
        <f>AVERAGE(C6:C10)</f>
        <v>23.4</v>
      </c>
      <c r="D14" s="77">
        <f>AVERAGE(D6:D10)</f>
        <v>9.1</v>
      </c>
      <c r="E14" s="77">
        <f>AVERAGE(E6:E10)</f>
        <v>17.3</v>
      </c>
      <c r="F14" s="77">
        <f>AVERAGE(F6:F10)</f>
        <v>20</v>
      </c>
    </row>
    <row r="15" spans="1:7">
      <c r="A15" s="76" t="s">
        <v>250</v>
      </c>
      <c r="B15" s="88">
        <f>MAX(B6:B10)</f>
        <v>3.5</v>
      </c>
      <c r="C15" s="77">
        <f>MAX(C6:C10)</f>
        <v>26</v>
      </c>
      <c r="D15" s="77">
        <f>MAX(D6:D10)</f>
        <v>13</v>
      </c>
      <c r="E15" s="77">
        <f>MAX(E6:E10)</f>
        <v>19</v>
      </c>
      <c r="F15" s="77">
        <f>MAX(F6:F10)</f>
        <v>24</v>
      </c>
    </row>
    <row r="17" spans="1:3">
      <c r="A17" s="67" t="s">
        <v>251</v>
      </c>
      <c r="B17" s="70" t="s">
        <v>252</v>
      </c>
    </row>
    <row r="18" spans="1:3">
      <c r="A18" s="1" t="s">
        <v>253</v>
      </c>
      <c r="B18" s="163">
        <f>'Income Statement'!D21</f>
        <v>2429.1000000000004</v>
      </c>
      <c r="C18" s="164"/>
    </row>
    <row r="19" spans="1:3">
      <c r="A19" s="1" t="s">
        <v>254</v>
      </c>
      <c r="B19" s="163">
        <f>'Income Statement'!D35</f>
        <v>1467.1000000000004</v>
      </c>
      <c r="C19" s="164"/>
    </row>
    <row r="20" spans="1:3">
      <c r="A20" s="164" t="s">
        <v>258</v>
      </c>
      <c r="B20" s="163">
        <f>'Income Statement'!D25</f>
        <v>122.4</v>
      </c>
      <c r="C20" s="164"/>
    </row>
    <row r="21" spans="1:3">
      <c r="A21" s="1" t="s">
        <v>95</v>
      </c>
      <c r="B21" s="81">
        <f>B19+B20</f>
        <v>1589.5000000000005</v>
      </c>
      <c r="C21" s="164"/>
    </row>
    <row r="22" spans="1:3">
      <c r="A22" s="1" t="s">
        <v>36</v>
      </c>
      <c r="B22" s="163">
        <f>'Income Statement'!D46</f>
        <v>1100.0000000000005</v>
      </c>
      <c r="C22" s="164"/>
    </row>
    <row r="23" spans="1:3">
      <c r="A23" s="1" t="s">
        <v>255</v>
      </c>
      <c r="B23" s="163">
        <f>'Balance Sheet'!D52</f>
        <v>5138.3</v>
      </c>
      <c r="C23" s="164"/>
    </row>
    <row r="24" spans="1:3">
      <c r="A24" s="164"/>
      <c r="B24" s="163"/>
      <c r="C24" s="164"/>
    </row>
    <row r="25" spans="1:3">
      <c r="A25" s="1" t="s">
        <v>259</v>
      </c>
      <c r="B25" s="163">
        <f>'Balance Sheet'!D10</f>
        <v>2216.5</v>
      </c>
      <c r="C25" s="164"/>
    </row>
    <row r="26" spans="1:3">
      <c r="A26" s="164" t="s">
        <v>260</v>
      </c>
      <c r="B26" s="163">
        <f>'Balance Sheet'!D11</f>
        <v>36.1</v>
      </c>
      <c r="C26" s="164"/>
    </row>
    <row r="27" spans="1:3">
      <c r="A27" s="164" t="s">
        <v>261</v>
      </c>
      <c r="B27" s="163">
        <f>'Balance Sheet'!D19</f>
        <v>32.4</v>
      </c>
      <c r="C27" s="164"/>
    </row>
    <row r="28" spans="1:3">
      <c r="A28" s="164" t="s">
        <v>262</v>
      </c>
      <c r="B28" s="163">
        <f>'Balance Sheet'!D39</f>
        <v>1442.9</v>
      </c>
      <c r="C28" s="164"/>
    </row>
    <row r="29" spans="1:3">
      <c r="A29" s="1" t="s">
        <v>256</v>
      </c>
      <c r="B29" s="81">
        <f>B25+B26+B27-B28</f>
        <v>842.09999999999991</v>
      </c>
      <c r="C29" s="164"/>
    </row>
    <row r="30" spans="1:3">
      <c r="A30" s="164" t="s">
        <v>257</v>
      </c>
      <c r="B30" s="165">
        <f>'Income Statement'!D54</f>
        <v>105.1</v>
      </c>
      <c r="C30" s="164"/>
    </row>
    <row r="33" spans="1:8">
      <c r="A33" s="67" t="s">
        <v>263</v>
      </c>
      <c r="B33" s="68"/>
      <c r="C33" s="68"/>
      <c r="D33" s="68"/>
      <c r="E33" s="68"/>
      <c r="F33" s="68"/>
      <c r="G33" s="68"/>
      <c r="H33" s="68"/>
    </row>
    <row r="34" spans="1:8">
      <c r="A34" s="72" t="s">
        <v>264</v>
      </c>
      <c r="B34" s="78" t="s">
        <v>265</v>
      </c>
      <c r="C34" s="73" t="s">
        <v>266</v>
      </c>
      <c r="D34" s="73" t="s">
        <v>267</v>
      </c>
      <c r="E34" s="73" t="s">
        <v>268</v>
      </c>
      <c r="F34" s="78" t="s">
        <v>269</v>
      </c>
      <c r="G34" s="78" t="s">
        <v>270</v>
      </c>
      <c r="H34" s="78" t="s">
        <v>271</v>
      </c>
    </row>
    <row r="35" spans="1:8">
      <c r="A35" s="74" t="s">
        <v>272</v>
      </c>
      <c r="B35" s="83">
        <f>B23</f>
        <v>5138.3</v>
      </c>
      <c r="C35" s="75">
        <f>B12</f>
        <v>2.2999999999999998</v>
      </c>
      <c r="D35" s="75">
        <f>B13</f>
        <v>3</v>
      </c>
      <c r="E35" s="75">
        <f>B15</f>
        <v>3.5</v>
      </c>
      <c r="F35" s="83">
        <f>B35*C35</f>
        <v>11818.09</v>
      </c>
      <c r="G35" s="83">
        <f>B35*D35</f>
        <v>15414.900000000001</v>
      </c>
      <c r="H35" s="83">
        <f>B35*E35</f>
        <v>17984.05</v>
      </c>
    </row>
    <row r="36" spans="1:8">
      <c r="A36" s="74" t="s">
        <v>273</v>
      </c>
      <c r="B36" s="83">
        <f>B22</f>
        <v>1100.0000000000005</v>
      </c>
      <c r="C36" s="75">
        <f>C12</f>
        <v>20</v>
      </c>
      <c r="D36" s="75">
        <f>C13</f>
        <v>24</v>
      </c>
      <c r="E36" s="75">
        <f>C15</f>
        <v>26</v>
      </c>
      <c r="F36" s="83">
        <f>B36*C36</f>
        <v>22000.000000000007</v>
      </c>
      <c r="G36" s="83">
        <f>B36*D36</f>
        <v>26400.000000000011</v>
      </c>
      <c r="H36" s="83">
        <f>B36*E36</f>
        <v>28600.000000000011</v>
      </c>
    </row>
    <row r="37" spans="1:8">
      <c r="A37" s="74" t="s">
        <v>274</v>
      </c>
      <c r="B37" s="83">
        <f>B18</f>
        <v>2429.1000000000004</v>
      </c>
      <c r="C37" s="75">
        <f>D12</f>
        <v>7</v>
      </c>
      <c r="D37" s="75">
        <f>D13</f>
        <v>9</v>
      </c>
      <c r="E37" s="75">
        <f>D15</f>
        <v>13</v>
      </c>
      <c r="F37" s="83">
        <f>B37*C37+$B$29</f>
        <v>17845.800000000003</v>
      </c>
      <c r="G37" s="83">
        <f>B37*D37+$B$29</f>
        <v>22704</v>
      </c>
      <c r="H37" s="83">
        <f>B37*E37+$B$29</f>
        <v>32420.400000000001</v>
      </c>
    </row>
    <row r="38" spans="1:8">
      <c r="A38" s="74" t="s">
        <v>275</v>
      </c>
      <c r="B38" s="83">
        <f>B21</f>
        <v>1589.5000000000005</v>
      </c>
      <c r="C38" s="75">
        <f>E12</f>
        <v>14</v>
      </c>
      <c r="D38" s="75">
        <f>E13</f>
        <v>18</v>
      </c>
      <c r="E38" s="75">
        <f>E15</f>
        <v>19</v>
      </c>
      <c r="F38" s="83">
        <f>B38*C38+$B$29</f>
        <v>23095.100000000006</v>
      </c>
      <c r="G38" s="83">
        <f>B38*D38+$B$29</f>
        <v>29453.100000000006</v>
      </c>
      <c r="H38" s="83">
        <f>B38*E38+$B$29</f>
        <v>31042.600000000006</v>
      </c>
    </row>
    <row r="39" spans="1:8">
      <c r="A39" s="74" t="s">
        <v>276</v>
      </c>
      <c r="B39" s="83">
        <f>B19</f>
        <v>1467.1000000000004</v>
      </c>
      <c r="C39" s="75">
        <f>F12</f>
        <v>16</v>
      </c>
      <c r="D39" s="75">
        <f>F13</f>
        <v>20</v>
      </c>
      <c r="E39" s="75">
        <f>F15</f>
        <v>24</v>
      </c>
      <c r="F39" s="83">
        <f>B39*C39+$B$29</f>
        <v>24315.700000000004</v>
      </c>
      <c r="G39" s="83">
        <f>B39*D39+$B$29</f>
        <v>30184.100000000006</v>
      </c>
      <c r="H39" s="83">
        <f>B39*E39+$B$29</f>
        <v>36052.500000000007</v>
      </c>
    </row>
    <row r="40" spans="1:8">
      <c r="A40" s="74"/>
      <c r="B40" s="74"/>
      <c r="C40" s="74"/>
      <c r="D40" s="74"/>
      <c r="E40" s="74"/>
      <c r="F40" s="83"/>
      <c r="G40" s="83"/>
      <c r="H40" s="83"/>
    </row>
    <row r="41" spans="1:8">
      <c r="A41" s="76" t="s">
        <v>360</v>
      </c>
      <c r="B41" s="74"/>
      <c r="C41" s="74"/>
      <c r="D41" s="74"/>
      <c r="E41" s="74"/>
      <c r="F41" s="84">
        <f>MIN(F35:F39)</f>
        <v>11818.09</v>
      </c>
      <c r="G41" s="84">
        <f>MEDIAN(G35:G39)</f>
        <v>26400.000000000011</v>
      </c>
      <c r="H41" s="84">
        <f>MAX(H35:H39)</f>
        <v>36052.500000000007</v>
      </c>
    </row>
    <row r="42" spans="1:8">
      <c r="G42" s="85"/>
    </row>
    <row r="43" spans="1:8">
      <c r="A4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CAF0B-24DE-9348-B1D3-DF2A8F8EBE36}">
  <sheetPr>
    <tabColor rgb="FFFF0000"/>
  </sheetPr>
  <dimension ref="A1:I46"/>
  <sheetViews>
    <sheetView tabSelected="1" topLeftCell="A14" zoomScale="84" workbookViewId="0">
      <selection activeCell="E49" sqref="E49"/>
    </sheetView>
  </sheetViews>
  <sheetFormatPr baseColWidth="10" defaultRowHeight="16" outlineLevelCol="1"/>
  <cols>
    <col min="1" max="1" width="35" customWidth="1"/>
    <col min="2" max="4" width="13" customWidth="1"/>
    <col min="5" max="5" width="26.5" customWidth="1"/>
    <col min="6" max="6" width="31" customWidth="1"/>
    <col min="7" max="8" width="11.6640625" customWidth="1" outlineLevel="1"/>
  </cols>
  <sheetData>
    <row r="1" spans="1:9" ht="19">
      <c r="A1" s="157" t="s">
        <v>361</v>
      </c>
      <c r="B1" s="158"/>
      <c r="C1" s="158"/>
      <c r="D1" s="158"/>
      <c r="E1" s="158"/>
      <c r="F1" s="158"/>
      <c r="G1" s="158"/>
      <c r="H1" s="158"/>
      <c r="I1" s="158"/>
    </row>
    <row r="2" spans="1:9">
      <c r="A2" s="38"/>
    </row>
    <row r="4" spans="1:9">
      <c r="A4" s="79" t="s">
        <v>277</v>
      </c>
      <c r="B4" s="80" t="s">
        <v>278</v>
      </c>
      <c r="C4" s="80" t="s">
        <v>279</v>
      </c>
      <c r="D4" s="80" t="s">
        <v>280</v>
      </c>
      <c r="E4" s="80" t="s">
        <v>281</v>
      </c>
      <c r="F4" s="161" t="s">
        <v>277</v>
      </c>
      <c r="G4" s="70" t="s">
        <v>285</v>
      </c>
      <c r="H4" s="160" t="s">
        <v>370</v>
      </c>
    </row>
    <row r="5" spans="1:9">
      <c r="A5" s="74" t="s">
        <v>282</v>
      </c>
      <c r="B5" s="83">
        <f>MIN('DCF Valuation'!B94:B97)</f>
        <v>24440.147532134179</v>
      </c>
      <c r="C5" s="83">
        <f>MAX('DCF Valuation'!B94:B97)</f>
        <v>24794.72248087512</v>
      </c>
      <c r="D5" s="83">
        <f>(B5+C5)/2</f>
        <v>24617.435006504649</v>
      </c>
      <c r="E5" s="86">
        <f>D5/'Income Statement'!$D$54</f>
        <v>234.22868702668555</v>
      </c>
      <c r="F5" t="str">
        <f>A5</f>
        <v>DCF (WACC / APV / TCF / Equity)</v>
      </c>
      <c r="G5" s="82">
        <f>B5</f>
        <v>24440.147532134179</v>
      </c>
      <c r="H5" s="82">
        <f>C5-B5</f>
        <v>354.57494874094118</v>
      </c>
    </row>
    <row r="6" spans="1:9">
      <c r="A6" s="74" t="s">
        <v>301</v>
      </c>
      <c r="B6" s="83">
        <f>'Trading Multiples'!F39</f>
        <v>24315.700000000004</v>
      </c>
      <c r="C6" s="83">
        <f>'Trading Multiples'!H39</f>
        <v>36052.500000000007</v>
      </c>
      <c r="D6" s="83">
        <f>(B6+C6)/2</f>
        <v>30184.100000000006</v>
      </c>
      <c r="E6" s="86">
        <f>D6/'Income Statement'!$D$54</f>
        <v>287.1941008563274</v>
      </c>
      <c r="F6" t="str">
        <f>A6</f>
        <v xml:space="preserve"> EV/EBIT</v>
      </c>
      <c r="G6" s="82">
        <f>B6</f>
        <v>24315.700000000004</v>
      </c>
      <c r="H6" s="82">
        <f>C6-B6</f>
        <v>11736.800000000003</v>
      </c>
    </row>
    <row r="7" spans="1:9">
      <c r="A7" s="74" t="s">
        <v>303</v>
      </c>
      <c r="B7" s="83">
        <f>'Trading Multiples'!F38</f>
        <v>23095.100000000006</v>
      </c>
      <c r="C7" s="83">
        <f>'Trading Multiples'!H38</f>
        <v>31042.600000000006</v>
      </c>
      <c r="D7" s="83">
        <f t="shared" ref="D7:D10" si="0">(B7+C7)/2</f>
        <v>27068.850000000006</v>
      </c>
      <c r="E7" s="86">
        <f>D7/'Income Statement'!$D$54</f>
        <v>257.55328258801148</v>
      </c>
      <c r="F7" t="str">
        <f>A7</f>
        <v xml:space="preserve"> EV/EBITDA</v>
      </c>
      <c r="G7" s="82">
        <f t="shared" ref="G7:G10" si="1">B7</f>
        <v>23095.100000000006</v>
      </c>
      <c r="H7" s="82">
        <f t="shared" ref="H7:H10" si="2">C7-B7</f>
        <v>7947.5</v>
      </c>
    </row>
    <row r="8" spans="1:9">
      <c r="A8" s="74" t="s">
        <v>302</v>
      </c>
      <c r="B8" s="83">
        <f>'Trading Multiples'!F36</f>
        <v>22000.000000000007</v>
      </c>
      <c r="C8" s="83">
        <f>'Trading Multiples'!H36</f>
        <v>28600.000000000011</v>
      </c>
      <c r="D8" s="83">
        <f t="shared" si="0"/>
        <v>25300.000000000007</v>
      </c>
      <c r="E8" s="86">
        <f>D8/'Income Statement'!$D$54</f>
        <v>240.7231208372979</v>
      </c>
      <c r="F8" t="str">
        <f>A8</f>
        <v xml:space="preserve"> Price/Earnings</v>
      </c>
      <c r="G8" s="82">
        <f t="shared" si="1"/>
        <v>22000.000000000007</v>
      </c>
      <c r="H8" s="82">
        <f t="shared" si="2"/>
        <v>6600.0000000000036</v>
      </c>
    </row>
    <row r="9" spans="1:9">
      <c r="A9" s="74" t="s">
        <v>304</v>
      </c>
      <c r="B9" s="83">
        <f>'Trading Multiples'!F37</f>
        <v>17845.800000000003</v>
      </c>
      <c r="C9" s="83">
        <f>'Trading Multiples'!H37</f>
        <v>32420.400000000001</v>
      </c>
      <c r="D9" s="83">
        <f t="shared" si="0"/>
        <v>25133.100000000002</v>
      </c>
      <c r="E9" s="86">
        <f>D9/'Income Statement'!$D$54</f>
        <v>239.13510941960041</v>
      </c>
      <c r="F9" t="str">
        <f>A9</f>
        <v xml:space="preserve"> EV/Sales</v>
      </c>
      <c r="G9" s="82">
        <f t="shared" si="1"/>
        <v>17845.800000000003</v>
      </c>
      <c r="H9" s="82">
        <f t="shared" si="2"/>
        <v>14574.599999999999</v>
      </c>
    </row>
    <row r="10" spans="1:9">
      <c r="A10" s="74" t="s">
        <v>237</v>
      </c>
      <c r="B10" s="83">
        <f>'Trading Multiples'!F35</f>
        <v>11818.09</v>
      </c>
      <c r="C10" s="83">
        <f>'Trading Multiples'!H35</f>
        <v>17984.05</v>
      </c>
      <c r="D10" s="83">
        <f t="shared" si="0"/>
        <v>14901.07</v>
      </c>
      <c r="E10" s="86">
        <f>D10/'Income Statement'!$D$54</f>
        <v>141.77992388201713</v>
      </c>
      <c r="F10" t="str">
        <f>A10</f>
        <v>Price/Book</v>
      </c>
      <c r="G10" s="82">
        <f t="shared" si="1"/>
        <v>11818.09</v>
      </c>
      <c r="H10" s="82">
        <f t="shared" si="2"/>
        <v>6165.9599999999991</v>
      </c>
    </row>
    <row r="11" spans="1:9">
      <c r="B11" s="82"/>
      <c r="C11" s="82"/>
      <c r="D11" s="82"/>
      <c r="E11" s="85"/>
    </row>
    <row r="12" spans="1:9">
      <c r="A12" s="1" t="s">
        <v>283</v>
      </c>
      <c r="B12" s="82"/>
      <c r="C12" s="82"/>
      <c r="D12" s="81">
        <f>MEDIAN(D5:D10)</f>
        <v>25216.550000000003</v>
      </c>
      <c r="E12" s="87">
        <f>D12/'Income Statement'!$D$54</f>
        <v>239.92911512844913</v>
      </c>
    </row>
    <row r="13" spans="1:9">
      <c r="A13" s="1" t="s">
        <v>284</v>
      </c>
      <c r="B13" s="81">
        <f>MIN(B5:B10)</f>
        <v>11818.09</v>
      </c>
      <c r="C13" s="81">
        <f>MAX(C5:C10)</f>
        <v>36052.500000000007</v>
      </c>
      <c r="D13" s="82"/>
    </row>
    <row r="43" spans="1:8">
      <c r="A43" s="1" t="s">
        <v>371</v>
      </c>
      <c r="B43" s="91"/>
      <c r="C43" s="91"/>
    </row>
    <row r="44" spans="1:8">
      <c r="A44" s="1" t="s">
        <v>368</v>
      </c>
      <c r="B44" s="91"/>
      <c r="C44" s="91"/>
    </row>
    <row r="45" spans="1:8">
      <c r="A45" s="91"/>
      <c r="B45" s="91"/>
      <c r="C45" s="91"/>
    </row>
    <row r="46" spans="1:8">
      <c r="A46" s="159" t="s">
        <v>369</v>
      </c>
      <c r="B46" s="159"/>
      <c r="C46" s="159"/>
      <c r="D46" s="159"/>
      <c r="E46" s="159"/>
      <c r="F46" s="159"/>
      <c r="G46" s="159"/>
      <c r="H46" s="15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Assumptions</vt:lpstr>
      <vt:lpstr>Income Statement</vt:lpstr>
      <vt:lpstr>Balance Sheet</vt:lpstr>
      <vt:lpstr>Cash Flow Statement</vt:lpstr>
      <vt:lpstr>Cash Flow Calculation</vt:lpstr>
      <vt:lpstr>Cost of Equity</vt:lpstr>
      <vt:lpstr>DCF Valuation</vt:lpstr>
      <vt:lpstr>Trading Multiples</vt:lpstr>
      <vt:lpstr>Football Field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Luisi</dc:creator>
  <cp:lastModifiedBy>Francesco Luisi</cp:lastModifiedBy>
  <dcterms:created xsi:type="dcterms:W3CDTF">2026-06-11T12:34:30Z</dcterms:created>
  <dcterms:modified xsi:type="dcterms:W3CDTF">2026-07-31T14:15:09Z</dcterms:modified>
</cp:coreProperties>
</file>